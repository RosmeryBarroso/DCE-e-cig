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uredu.sharepoint.com/sites/ControlTabacoFacultadEconomica/Documentos compartidos/DCE e-cig/Resultados finales/"/>
    </mc:Choice>
  </mc:AlternateContent>
  <xr:revisionPtr revIDLastSave="1257" documentId="8_{1059A956-481A-4C4A-9BFB-C7336247E0C9}" xr6:coauthVersionLast="47" xr6:coauthVersionMax="47" xr10:uidLastSave="{FA25AFA2-B099-475F-9741-735BC0539FC1}"/>
  <bookViews>
    <workbookView minimized="1" xWindow="1290" yWindow="3270" windowWidth="15375" windowHeight="7785" activeTab="2" xr2:uid="{00000000-000D-0000-FFFF-FFFF00000000}"/>
  </bookViews>
  <sheets>
    <sheet name="Indice Tablas" sheetId="7" r:id="rId1"/>
    <sheet name="Tabla 1" sheetId="17" r:id="rId2"/>
    <sheet name="Tabla 2" sheetId="12" r:id="rId3"/>
    <sheet name="Tabla 3" sheetId="10" r:id="rId4"/>
    <sheet name="Tabla 4" sheetId="13" r:id="rId5"/>
    <sheet name="Tabla 5" sheetId="15" r:id="rId6"/>
    <sheet name="Tabla B8" sheetId="1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3" i="18" l="1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I63" i="18"/>
  <c r="I62" i="18"/>
  <c r="I61" i="18"/>
  <c r="I60" i="18"/>
  <c r="I59" i="18"/>
  <c r="I58" i="18"/>
  <c r="I57" i="18"/>
  <c r="I56" i="18"/>
  <c r="I55" i="18"/>
  <c r="I54" i="18"/>
  <c r="I53" i="18"/>
  <c r="I52" i="18"/>
  <c r="I51" i="18"/>
  <c r="I50" i="18"/>
  <c r="I49" i="18"/>
  <c r="I48" i="18"/>
  <c r="I47" i="18"/>
  <c r="I46" i="18"/>
  <c r="I45" i="18"/>
  <c r="I44" i="18"/>
  <c r="I43" i="18"/>
  <c r="I42" i="18"/>
  <c r="I41" i="18"/>
  <c r="I40" i="18"/>
  <c r="I39" i="18"/>
  <c r="H63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G63" i="18"/>
  <c r="G62" i="18"/>
  <c r="G61" i="18"/>
  <c r="G60" i="18"/>
  <c r="G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5" i="18"/>
  <c r="G44" i="18"/>
  <c r="G43" i="18"/>
  <c r="G42" i="18"/>
  <c r="G41" i="18"/>
  <c r="G40" i="18"/>
  <c r="G39" i="18"/>
  <c r="F63" i="18"/>
  <c r="F62" i="18"/>
  <c r="F61" i="18"/>
  <c r="F60" i="18"/>
  <c r="F59" i="18"/>
  <c r="F58" i="18"/>
  <c r="F57" i="18"/>
  <c r="F56" i="18"/>
  <c r="F55" i="18"/>
  <c r="F54" i="18"/>
  <c r="F53" i="18"/>
  <c r="F52" i="18"/>
  <c r="F51" i="18"/>
  <c r="F50" i="18"/>
  <c r="F49" i="18"/>
  <c r="F48" i="18"/>
  <c r="F47" i="18"/>
  <c r="F46" i="18"/>
  <c r="F45" i="18"/>
  <c r="F44" i="18"/>
  <c r="F43" i="18"/>
  <c r="F42" i="18"/>
  <c r="F41" i="18"/>
  <c r="F40" i="18"/>
  <c r="F39" i="18"/>
  <c r="E63" i="18"/>
  <c r="D63" i="18"/>
  <c r="C63" i="18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39" i="18"/>
  <c r="H61" i="12"/>
  <c r="AE78" i="13"/>
  <c r="Z78" i="13"/>
  <c r="V78" i="13"/>
  <c r="N69" i="15"/>
  <c r="G88" i="15"/>
  <c r="J61" i="12"/>
  <c r="I61" i="12"/>
  <c r="R113" i="10"/>
  <c r="AA120" i="10"/>
  <c r="M123" i="10"/>
  <c r="M122" i="10"/>
  <c r="M121" i="10"/>
  <c r="M120" i="10"/>
  <c r="M119" i="10"/>
  <c r="M118" i="10"/>
  <c r="M117" i="10"/>
  <c r="M116" i="10"/>
  <c r="M115" i="10"/>
  <c r="M114" i="10"/>
  <c r="M113" i="10"/>
  <c r="M112" i="10"/>
  <c r="M111" i="10"/>
  <c r="L123" i="10"/>
  <c r="K129" i="10"/>
  <c r="K128" i="10"/>
  <c r="Y128" i="10"/>
  <c r="R120" i="10"/>
  <c r="R119" i="10"/>
  <c r="R118" i="10"/>
  <c r="R117" i="10"/>
  <c r="R116" i="10"/>
  <c r="R115" i="10"/>
  <c r="R114" i="10"/>
  <c r="R112" i="10"/>
  <c r="R111" i="10"/>
  <c r="N111" i="10"/>
  <c r="N123" i="10"/>
  <c r="N122" i="10"/>
  <c r="N121" i="10"/>
  <c r="N120" i="10"/>
  <c r="N119" i="10"/>
  <c r="N118" i="10"/>
  <c r="N117" i="10"/>
  <c r="N116" i="10"/>
  <c r="N115" i="10"/>
  <c r="N114" i="10"/>
  <c r="N113" i="10"/>
  <c r="N112" i="10"/>
  <c r="I112" i="10"/>
  <c r="I123" i="10"/>
  <c r="I122" i="10"/>
  <c r="I121" i="10"/>
  <c r="I120" i="10"/>
  <c r="I119" i="10"/>
  <c r="I118" i="10"/>
  <c r="I117" i="10"/>
  <c r="I116" i="10"/>
  <c r="I115" i="10"/>
  <c r="I114" i="10"/>
  <c r="I113" i="10"/>
  <c r="K112" i="10"/>
  <c r="L112" i="10"/>
  <c r="O112" i="10"/>
  <c r="P112" i="10"/>
  <c r="Q112" i="10"/>
  <c r="S112" i="10"/>
  <c r="K113" i="10"/>
  <c r="L113" i="10"/>
  <c r="O113" i="10"/>
  <c r="P113" i="10"/>
  <c r="Q113" i="10"/>
  <c r="S113" i="10"/>
  <c r="K114" i="10"/>
  <c r="L114" i="10"/>
  <c r="O114" i="10"/>
  <c r="P114" i="10"/>
  <c r="Q114" i="10"/>
  <c r="S114" i="10"/>
  <c r="K115" i="10"/>
  <c r="L115" i="10"/>
  <c r="O115" i="10"/>
  <c r="P115" i="10"/>
  <c r="Q115" i="10"/>
  <c r="S115" i="10"/>
  <c r="K116" i="10"/>
  <c r="L116" i="10"/>
  <c r="O116" i="10"/>
  <c r="P116" i="10"/>
  <c r="Q116" i="10"/>
  <c r="S116" i="10"/>
  <c r="K117" i="10"/>
  <c r="L117" i="10"/>
  <c r="O117" i="10"/>
  <c r="P117" i="10"/>
  <c r="Q117" i="10"/>
  <c r="S117" i="10"/>
  <c r="K118" i="10"/>
  <c r="L118" i="10"/>
  <c r="O118" i="10"/>
  <c r="P118" i="10"/>
  <c r="Q118" i="10"/>
  <c r="S118" i="10"/>
  <c r="K119" i="10"/>
  <c r="L119" i="10"/>
  <c r="O119" i="10"/>
  <c r="P119" i="10"/>
  <c r="Q119" i="10"/>
  <c r="S119" i="10"/>
  <c r="K120" i="10"/>
  <c r="L120" i="10"/>
  <c r="O120" i="10"/>
  <c r="P120" i="10"/>
  <c r="Q120" i="10"/>
  <c r="S120" i="10"/>
  <c r="K121" i="10"/>
  <c r="L121" i="10"/>
  <c r="O121" i="10"/>
  <c r="K122" i="10"/>
  <c r="L122" i="10"/>
  <c r="O122" i="10"/>
  <c r="K123" i="10"/>
  <c r="O123" i="10"/>
  <c r="J111" i="10"/>
  <c r="X111" i="10" s="1"/>
  <c r="X112" i="10" s="1"/>
  <c r="X113" i="10" s="1"/>
  <c r="X114" i="10" s="1"/>
  <c r="X115" i="10" s="1"/>
  <c r="X116" i="10" s="1"/>
  <c r="X117" i="10" s="1"/>
  <c r="X118" i="10" s="1"/>
  <c r="X119" i="10" s="1"/>
  <c r="J112" i="10"/>
  <c r="H111" i="10"/>
  <c r="I94" i="10"/>
  <c r="I111" i="10"/>
  <c r="O59" i="10"/>
  <c r="O4" i="10"/>
  <c r="K32" i="10" l="1"/>
  <c r="O54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5" i="10"/>
  <c r="O56" i="10"/>
  <c r="O32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33" i="10"/>
  <c r="S34" i="10"/>
  <c r="S35" i="10"/>
  <c r="S36" i="10"/>
  <c r="S37" i="10"/>
  <c r="S32" i="10"/>
  <c r="AB69" i="12"/>
  <c r="L61" i="12"/>
  <c r="O73" i="12"/>
  <c r="N73" i="12"/>
  <c r="M73" i="12"/>
  <c r="L73" i="12"/>
  <c r="K73" i="12"/>
  <c r="J73" i="12"/>
  <c r="I73" i="12"/>
  <c r="H73" i="12"/>
  <c r="O72" i="12"/>
  <c r="N72" i="12"/>
  <c r="M72" i="12"/>
  <c r="L72" i="12"/>
  <c r="K72" i="12"/>
  <c r="J72" i="12"/>
  <c r="I72" i="12"/>
  <c r="H72" i="12"/>
  <c r="O71" i="12"/>
  <c r="N71" i="12"/>
  <c r="M71" i="12"/>
  <c r="L71" i="12"/>
  <c r="K71" i="12"/>
  <c r="J71" i="12"/>
  <c r="I71" i="12"/>
  <c r="H71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S61" i="12"/>
  <c r="R61" i="12"/>
  <c r="Q61" i="12"/>
  <c r="P61" i="12"/>
  <c r="O61" i="12"/>
  <c r="N61" i="12"/>
  <c r="M61" i="12"/>
  <c r="K61" i="12"/>
  <c r="AC90" i="15"/>
  <c r="AC91" i="15" s="1"/>
  <c r="AC92" i="15" s="1"/>
  <c r="AC93" i="15" s="1"/>
  <c r="AC94" i="15" s="1"/>
  <c r="AC95" i="15" s="1"/>
  <c r="AC96" i="15" s="1"/>
  <c r="AB90" i="15"/>
  <c r="AB91" i="15" s="1"/>
  <c r="AB92" i="15" s="1"/>
  <c r="AB93" i="15" s="1"/>
  <c r="AB94" i="15" s="1"/>
  <c r="AB95" i="15" s="1"/>
  <c r="AB96" i="15" s="1"/>
  <c r="AA90" i="15"/>
  <c r="AA91" i="15" s="1"/>
  <c r="AA92" i="15" s="1"/>
  <c r="AA93" i="15" s="1"/>
  <c r="AA94" i="15" s="1"/>
  <c r="AA95" i="15" s="1"/>
  <c r="AA96" i="15" s="1"/>
  <c r="U90" i="15"/>
  <c r="U91" i="15" s="1"/>
  <c r="U92" i="15" s="1"/>
  <c r="U93" i="15" s="1"/>
  <c r="U94" i="15" s="1"/>
  <c r="U95" i="15" s="1"/>
  <c r="U96" i="15" s="1"/>
  <c r="S90" i="15"/>
  <c r="S91" i="15"/>
  <c r="S92" i="15" s="1"/>
  <c r="S93" i="15" s="1"/>
  <c r="S94" i="15" s="1"/>
  <c r="S95" i="15" s="1"/>
  <c r="S96" i="15" s="1"/>
  <c r="R90" i="15"/>
  <c r="R91" i="15"/>
  <c r="R92" i="15"/>
  <c r="R93" i="15"/>
  <c r="R94" i="15" s="1"/>
  <c r="R95" i="15" s="1"/>
  <c r="R96" i="15" s="1"/>
  <c r="AC71" i="15"/>
  <c r="AC72" i="15" s="1"/>
  <c r="AC73" i="15" s="1"/>
  <c r="AC74" i="15" s="1"/>
  <c r="AC75" i="15" s="1"/>
  <c r="AC76" i="15" s="1"/>
  <c r="AC77" i="15" s="1"/>
  <c r="AB71" i="15"/>
  <c r="AB72" i="15"/>
  <c r="AB73" i="15" s="1"/>
  <c r="AB74" i="15" s="1"/>
  <c r="AB75" i="15" s="1"/>
  <c r="AB76" i="15" s="1"/>
  <c r="AB77" i="15" s="1"/>
  <c r="Z71" i="15"/>
  <c r="Z72" i="15" s="1"/>
  <c r="Z73" i="15" s="1"/>
  <c r="Z74" i="15" s="1"/>
  <c r="Z75" i="15" s="1"/>
  <c r="Z76" i="15" s="1"/>
  <c r="Z77" i="15" s="1"/>
  <c r="U71" i="15"/>
  <c r="U72" i="15" s="1"/>
  <c r="U73" i="15" s="1"/>
  <c r="U74" i="15" s="1"/>
  <c r="U75" i="15" s="1"/>
  <c r="U76" i="15" s="1"/>
  <c r="U77" i="15" s="1"/>
  <c r="T71" i="15"/>
  <c r="T72" i="15" s="1"/>
  <c r="T73" i="15" s="1"/>
  <c r="T74" i="15" s="1"/>
  <c r="T75" i="15" s="1"/>
  <c r="T76" i="15" s="1"/>
  <c r="T77" i="15" s="1"/>
  <c r="S71" i="15"/>
  <c r="S72" i="15" s="1"/>
  <c r="S73" i="15" s="1"/>
  <c r="S74" i="15" s="1"/>
  <c r="S75" i="15" s="1"/>
  <c r="S76" i="15" s="1"/>
  <c r="S77" i="15" s="1"/>
  <c r="R71" i="15"/>
  <c r="R72" i="15" s="1"/>
  <c r="R73" i="15" s="1"/>
  <c r="R74" i="15" s="1"/>
  <c r="R75" i="15" s="1"/>
  <c r="R76" i="15" s="1"/>
  <c r="R77" i="15" s="1"/>
  <c r="AC90" i="13"/>
  <c r="AC91" i="13" s="1"/>
  <c r="AC92" i="13" s="1"/>
  <c r="AC93" i="13" s="1"/>
  <c r="AC94" i="13" s="1"/>
  <c r="AC95" i="13" s="1"/>
  <c r="AC96" i="13" s="1"/>
  <c r="AB90" i="13"/>
  <c r="AB91" i="13" s="1"/>
  <c r="AB92" i="13" s="1"/>
  <c r="AB93" i="13" s="1"/>
  <c r="AB94" i="13" s="1"/>
  <c r="AB95" i="13" s="1"/>
  <c r="AB96" i="13" s="1"/>
  <c r="AA90" i="13"/>
  <c r="AA91" i="13"/>
  <c r="AA92" i="13" s="1"/>
  <c r="AA93" i="13" s="1"/>
  <c r="AA94" i="13" s="1"/>
  <c r="AA95" i="13" s="1"/>
  <c r="AA96" i="13" s="1"/>
  <c r="W90" i="13"/>
  <c r="W91" i="13" s="1"/>
  <c r="W92" i="13" s="1"/>
  <c r="W93" i="13" s="1"/>
  <c r="W94" i="13" s="1"/>
  <c r="W95" i="13" s="1"/>
  <c r="W96" i="13" s="1"/>
  <c r="U90" i="13"/>
  <c r="U91" i="13" s="1"/>
  <c r="U92" i="13" s="1"/>
  <c r="U93" i="13" s="1"/>
  <c r="U94" i="13" s="1"/>
  <c r="U95" i="13" s="1"/>
  <c r="U96" i="13" s="1"/>
  <c r="AD71" i="13"/>
  <c r="AD72" i="13"/>
  <c r="AD73" i="13" s="1"/>
  <c r="AD74" i="13" s="1"/>
  <c r="AD75" i="13" s="1"/>
  <c r="AD76" i="13" s="1"/>
  <c r="AD77" i="13" s="1"/>
  <c r="AC71" i="13"/>
  <c r="AC72" i="13" s="1"/>
  <c r="AC73" i="13" s="1"/>
  <c r="AC74" i="13" s="1"/>
  <c r="AC75" i="13" s="1"/>
  <c r="AC76" i="13" s="1"/>
  <c r="AC77" i="13" s="1"/>
  <c r="W71" i="13"/>
  <c r="W72" i="13" s="1"/>
  <c r="W73" i="13" s="1"/>
  <c r="W74" i="13" s="1"/>
  <c r="W75" i="13" s="1"/>
  <c r="W76" i="13" s="1"/>
  <c r="W77" i="13" s="1"/>
  <c r="U71" i="13"/>
  <c r="U72" i="13" s="1"/>
  <c r="U73" i="13" s="1"/>
  <c r="U74" i="13" s="1"/>
  <c r="U75" i="13" s="1"/>
  <c r="U76" i="13" s="1"/>
  <c r="U77" i="13" s="1"/>
  <c r="S69" i="13"/>
  <c r="L100" i="15" l="1"/>
  <c r="K100" i="15"/>
  <c r="J100" i="15"/>
  <c r="I100" i="15"/>
  <c r="H100" i="15"/>
  <c r="G100" i="15"/>
  <c r="F100" i="15"/>
  <c r="E100" i="15"/>
  <c r="L99" i="15"/>
  <c r="K99" i="15"/>
  <c r="J99" i="15"/>
  <c r="I99" i="15"/>
  <c r="H99" i="15"/>
  <c r="G99" i="15"/>
  <c r="F99" i="15"/>
  <c r="E99" i="15"/>
  <c r="L98" i="15"/>
  <c r="K98" i="15"/>
  <c r="J98" i="15"/>
  <c r="I98" i="15"/>
  <c r="H98" i="15"/>
  <c r="G98" i="15"/>
  <c r="F98" i="15"/>
  <c r="E98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P88" i="15"/>
  <c r="O88" i="15"/>
  <c r="N88" i="15"/>
  <c r="M88" i="15"/>
  <c r="L88" i="15"/>
  <c r="K88" i="15"/>
  <c r="J88" i="15"/>
  <c r="I88" i="15"/>
  <c r="H88" i="15"/>
  <c r="F88" i="15"/>
  <c r="E88" i="15"/>
  <c r="L81" i="15"/>
  <c r="K81" i="15"/>
  <c r="J81" i="15"/>
  <c r="I81" i="15"/>
  <c r="H81" i="15"/>
  <c r="G81" i="15"/>
  <c r="F81" i="15"/>
  <c r="E81" i="15"/>
  <c r="L80" i="15"/>
  <c r="K80" i="15"/>
  <c r="J80" i="15"/>
  <c r="I80" i="15"/>
  <c r="H80" i="15"/>
  <c r="G80" i="15"/>
  <c r="F80" i="15"/>
  <c r="E80" i="15"/>
  <c r="L79" i="15"/>
  <c r="K79" i="15"/>
  <c r="J79" i="15"/>
  <c r="I79" i="15"/>
  <c r="H79" i="15"/>
  <c r="G79" i="15"/>
  <c r="F79" i="15"/>
  <c r="E79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P69" i="15"/>
  <c r="O69" i="15"/>
  <c r="M69" i="15"/>
  <c r="L69" i="15"/>
  <c r="K69" i="15"/>
  <c r="J69" i="15"/>
  <c r="I69" i="15"/>
  <c r="H69" i="15"/>
  <c r="G69" i="15"/>
  <c r="F69" i="15"/>
  <c r="E69" i="15"/>
  <c r="M100" i="13"/>
  <c r="L100" i="13"/>
  <c r="K100" i="13"/>
  <c r="J100" i="13"/>
  <c r="I100" i="13"/>
  <c r="H100" i="13"/>
  <c r="M99" i="13"/>
  <c r="L99" i="13"/>
  <c r="K99" i="13"/>
  <c r="J99" i="13"/>
  <c r="I99" i="13"/>
  <c r="H99" i="13"/>
  <c r="M98" i="13"/>
  <c r="L98" i="13"/>
  <c r="K98" i="13"/>
  <c r="J98" i="13"/>
  <c r="I98" i="13"/>
  <c r="H98" i="13"/>
  <c r="P97" i="13"/>
  <c r="O97" i="13"/>
  <c r="N97" i="13"/>
  <c r="M97" i="13"/>
  <c r="L97" i="13"/>
  <c r="K97" i="13"/>
  <c r="J97" i="13"/>
  <c r="I97" i="13"/>
  <c r="H97" i="13"/>
  <c r="P96" i="13"/>
  <c r="O96" i="13"/>
  <c r="N96" i="13"/>
  <c r="M96" i="13"/>
  <c r="L96" i="13"/>
  <c r="K96" i="13"/>
  <c r="J96" i="13"/>
  <c r="I96" i="13"/>
  <c r="H96" i="13"/>
  <c r="P95" i="13"/>
  <c r="O95" i="13"/>
  <c r="N95" i="13"/>
  <c r="M95" i="13"/>
  <c r="L95" i="13"/>
  <c r="K95" i="13"/>
  <c r="J95" i="13"/>
  <c r="I95" i="13"/>
  <c r="H95" i="13"/>
  <c r="P94" i="13"/>
  <c r="O94" i="13"/>
  <c r="N94" i="13"/>
  <c r="M94" i="13"/>
  <c r="L94" i="13"/>
  <c r="K94" i="13"/>
  <c r="J94" i="13"/>
  <c r="I94" i="13"/>
  <c r="H94" i="13"/>
  <c r="P93" i="13"/>
  <c r="O93" i="13"/>
  <c r="N93" i="13"/>
  <c r="M93" i="13"/>
  <c r="L93" i="13"/>
  <c r="K93" i="13"/>
  <c r="J93" i="13"/>
  <c r="I93" i="13"/>
  <c r="H93" i="13"/>
  <c r="P92" i="13"/>
  <c r="O92" i="13"/>
  <c r="N92" i="13"/>
  <c r="M92" i="13"/>
  <c r="L92" i="13"/>
  <c r="K92" i="13"/>
  <c r="J92" i="13"/>
  <c r="I92" i="13"/>
  <c r="H92" i="13"/>
  <c r="P91" i="13"/>
  <c r="O91" i="13"/>
  <c r="N91" i="13"/>
  <c r="M91" i="13"/>
  <c r="L91" i="13"/>
  <c r="K91" i="13"/>
  <c r="J91" i="13"/>
  <c r="I91" i="13"/>
  <c r="H91" i="13"/>
  <c r="P90" i="13"/>
  <c r="O90" i="13"/>
  <c r="N90" i="13"/>
  <c r="M90" i="13"/>
  <c r="L90" i="13"/>
  <c r="K90" i="13"/>
  <c r="J90" i="13"/>
  <c r="I90" i="13"/>
  <c r="H90" i="13"/>
  <c r="P89" i="13"/>
  <c r="O89" i="13"/>
  <c r="N89" i="13"/>
  <c r="M89" i="13"/>
  <c r="L89" i="13"/>
  <c r="K89" i="13"/>
  <c r="J89" i="13"/>
  <c r="I89" i="13"/>
  <c r="H89" i="13"/>
  <c r="P88" i="13"/>
  <c r="O88" i="13"/>
  <c r="N88" i="13"/>
  <c r="M88" i="13"/>
  <c r="L88" i="13"/>
  <c r="K88" i="13"/>
  <c r="J88" i="13"/>
  <c r="I88" i="13"/>
  <c r="H88" i="13"/>
  <c r="O81" i="13"/>
  <c r="N81" i="13"/>
  <c r="M81" i="13"/>
  <c r="L81" i="13"/>
  <c r="K81" i="13"/>
  <c r="J81" i="13"/>
  <c r="I81" i="13"/>
  <c r="H81" i="13"/>
  <c r="O80" i="13"/>
  <c r="N80" i="13"/>
  <c r="M80" i="13"/>
  <c r="L80" i="13"/>
  <c r="K80" i="13"/>
  <c r="J80" i="13"/>
  <c r="I80" i="13"/>
  <c r="H80" i="13"/>
  <c r="O79" i="13"/>
  <c r="N79" i="13"/>
  <c r="M79" i="13"/>
  <c r="L79" i="13"/>
  <c r="K79" i="13"/>
  <c r="J79" i="13"/>
  <c r="I79" i="13"/>
  <c r="H79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R69" i="13"/>
  <c r="Q69" i="13"/>
  <c r="P69" i="13"/>
  <c r="O69" i="13"/>
  <c r="N69" i="13"/>
  <c r="M69" i="13"/>
  <c r="L69" i="13"/>
  <c r="K69" i="13"/>
  <c r="J69" i="13"/>
  <c r="I69" i="13"/>
  <c r="H69" i="13"/>
  <c r="J123" i="10"/>
  <c r="J122" i="10"/>
  <c r="J121" i="10"/>
  <c r="H120" i="10"/>
  <c r="H122" i="10"/>
  <c r="H121" i="10"/>
  <c r="H123" i="10"/>
  <c r="O140" i="10"/>
  <c r="N140" i="10"/>
  <c r="M140" i="10"/>
  <c r="L140" i="10"/>
  <c r="K140" i="10"/>
  <c r="J140" i="10"/>
  <c r="I140" i="10"/>
  <c r="H140" i="10"/>
  <c r="O139" i="10"/>
  <c r="N139" i="10"/>
  <c r="M139" i="10"/>
  <c r="L139" i="10"/>
  <c r="K139" i="10"/>
  <c r="J139" i="10"/>
  <c r="I139" i="10"/>
  <c r="H139" i="10"/>
  <c r="O138" i="10"/>
  <c r="N138" i="10"/>
  <c r="M138" i="10"/>
  <c r="L138" i="10"/>
  <c r="K138" i="10"/>
  <c r="J138" i="10"/>
  <c r="I138" i="10"/>
  <c r="H138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S129" i="10"/>
  <c r="R129" i="10"/>
  <c r="Q129" i="10"/>
  <c r="P129" i="10"/>
  <c r="O129" i="10"/>
  <c r="N129" i="10"/>
  <c r="M129" i="10"/>
  <c r="L129" i="10"/>
  <c r="J129" i="10"/>
  <c r="I129" i="10"/>
  <c r="H129" i="10"/>
  <c r="S128" i="10"/>
  <c r="R128" i="10"/>
  <c r="Q128" i="10"/>
  <c r="P128" i="10"/>
  <c r="O128" i="10"/>
  <c r="N128" i="10"/>
  <c r="M128" i="10"/>
  <c r="L128" i="10"/>
  <c r="J128" i="10"/>
  <c r="I128" i="10"/>
  <c r="H128" i="10"/>
  <c r="J120" i="10"/>
  <c r="J119" i="10"/>
  <c r="H119" i="10"/>
  <c r="J118" i="10"/>
  <c r="H118" i="10"/>
  <c r="J117" i="10"/>
  <c r="H117" i="10"/>
  <c r="J116" i="10"/>
  <c r="H116" i="10"/>
  <c r="J115" i="10"/>
  <c r="H115" i="10"/>
  <c r="J114" i="10"/>
  <c r="H114" i="10"/>
  <c r="J113" i="10"/>
  <c r="H113" i="10"/>
  <c r="H112" i="10"/>
  <c r="S111" i="10"/>
  <c r="Q111" i="10"/>
  <c r="P111" i="10"/>
  <c r="O111" i="10"/>
  <c r="L111" i="10"/>
  <c r="K111" i="10"/>
  <c r="M106" i="10"/>
  <c r="L106" i="10"/>
  <c r="M105" i="10"/>
  <c r="M104" i="10"/>
  <c r="Q103" i="10"/>
  <c r="M103" i="10"/>
  <c r="Q102" i="10"/>
  <c r="M102" i="10"/>
  <c r="Q101" i="10"/>
  <c r="M101" i="10"/>
  <c r="Q100" i="10"/>
  <c r="N100" i="10"/>
  <c r="M100" i="10"/>
  <c r="Q99" i="10"/>
  <c r="M99" i="10"/>
  <c r="Q98" i="10"/>
  <c r="M98" i="10"/>
  <c r="Q97" i="10"/>
  <c r="M97" i="10"/>
  <c r="Q96" i="10"/>
  <c r="M96" i="10"/>
  <c r="Q95" i="10"/>
  <c r="M95" i="10"/>
  <c r="Q94" i="10"/>
  <c r="M94" i="10"/>
  <c r="S103" i="10"/>
  <c r="S102" i="10"/>
  <c r="S101" i="10"/>
  <c r="S100" i="10"/>
  <c r="S99" i="10"/>
  <c r="S98" i="10"/>
  <c r="S97" i="10"/>
  <c r="S96" i="10"/>
  <c r="S95" i="10"/>
  <c r="S94" i="10"/>
  <c r="R103" i="10"/>
  <c r="R102" i="10"/>
  <c r="R101" i="10"/>
  <c r="R100" i="10"/>
  <c r="R99" i="10"/>
  <c r="R98" i="10"/>
  <c r="R97" i="10"/>
  <c r="R96" i="10"/>
  <c r="R95" i="10"/>
  <c r="R94" i="10"/>
  <c r="P103" i="10"/>
  <c r="P102" i="10"/>
  <c r="P101" i="10"/>
  <c r="P100" i="10"/>
  <c r="P99" i="10"/>
  <c r="P98" i="10"/>
  <c r="P97" i="10"/>
  <c r="P96" i="10"/>
  <c r="P95" i="10"/>
  <c r="P94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N106" i="10"/>
  <c r="N105" i="10"/>
  <c r="N104" i="10"/>
  <c r="N103" i="10"/>
  <c r="N102" i="10"/>
  <c r="N101" i="10"/>
  <c r="N99" i="10"/>
  <c r="N98" i="10"/>
  <c r="N97" i="10"/>
  <c r="N96" i="10"/>
  <c r="N95" i="10"/>
  <c r="N94" i="10"/>
  <c r="L105" i="10"/>
  <c r="L104" i="10"/>
  <c r="L103" i="10"/>
  <c r="L102" i="10"/>
  <c r="L101" i="10"/>
  <c r="L100" i="10"/>
  <c r="L99" i="10"/>
  <c r="L98" i="10"/>
  <c r="L97" i="10"/>
  <c r="L96" i="10"/>
  <c r="L95" i="10"/>
  <c r="L94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I106" i="10"/>
  <c r="I105" i="10"/>
  <c r="I104" i="10"/>
  <c r="I103" i="10"/>
  <c r="I102" i="10"/>
  <c r="I101" i="10"/>
  <c r="I100" i="10"/>
  <c r="I99" i="10"/>
  <c r="I98" i="10"/>
  <c r="I97" i="10"/>
  <c r="I96" i="10"/>
  <c r="I95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K55" i="10"/>
  <c r="K53" i="10"/>
  <c r="K54" i="10"/>
  <c r="K56" i="10"/>
  <c r="AF128" i="10" l="1"/>
  <c r="AE69" i="13"/>
  <c r="AD69" i="13"/>
  <c r="AI61" i="12"/>
  <c r="AI62" i="12" s="1"/>
  <c r="AI63" i="12" s="1"/>
  <c r="AI64" i="12" s="1"/>
  <c r="AI65" i="12" s="1"/>
  <c r="AI66" i="12" s="1"/>
  <c r="AI67" i="12" s="1"/>
  <c r="AI68" i="12" s="1"/>
  <c r="AI69" i="12" s="1"/>
  <c r="AG61" i="12"/>
  <c r="AF61" i="12"/>
  <c r="AF62" i="12" s="1"/>
  <c r="AF63" i="12" s="1"/>
  <c r="AF64" i="12" s="1"/>
  <c r="AF65" i="12" s="1"/>
  <c r="AF66" i="12" s="1"/>
  <c r="AF67" i="12" s="1"/>
  <c r="AF68" i="12" s="1"/>
  <c r="AF69" i="12" s="1"/>
  <c r="S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29" i="12"/>
  <c r="O65" i="10"/>
  <c r="O60" i="10"/>
  <c r="O61" i="10"/>
  <c r="O62" i="10"/>
  <c r="O63" i="10"/>
  <c r="O64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25" i="10"/>
  <c r="AA26" i="10"/>
  <c r="AA27" i="10"/>
  <c r="AA28" i="10"/>
  <c r="AA29" i="10"/>
  <c r="K26" i="10"/>
  <c r="K27" i="10"/>
  <c r="K28" i="10"/>
  <c r="K29" i="10"/>
  <c r="S25" i="10"/>
  <c r="S26" i="10"/>
  <c r="S27" i="10"/>
  <c r="S28" i="10"/>
  <c r="S29" i="10"/>
  <c r="S57" i="10"/>
  <c r="AA55" i="10"/>
  <c r="AA53" i="10"/>
  <c r="AA54" i="10"/>
  <c r="AA56" i="10"/>
  <c r="AA57" i="10"/>
  <c r="AC88" i="13"/>
  <c r="AC89" i="13" s="1"/>
  <c r="AB88" i="13"/>
  <c r="AA88" i="13"/>
  <c r="AA89" i="13" s="1"/>
  <c r="AB88" i="15"/>
  <c r="Y69" i="13"/>
  <c r="S80" i="10"/>
  <c r="S81" i="10"/>
  <c r="S82" i="10"/>
  <c r="S83" i="10"/>
  <c r="S84" i="10"/>
  <c r="K83" i="10"/>
  <c r="K84" i="10"/>
  <c r="Z69" i="13"/>
  <c r="W49" i="12"/>
  <c r="S49" i="12"/>
  <c r="K49" i="12"/>
  <c r="W47" i="12"/>
  <c r="S47" i="12"/>
  <c r="K47" i="12"/>
  <c r="W45" i="12"/>
  <c r="S45" i="12"/>
  <c r="K45" i="12"/>
  <c r="W43" i="12"/>
  <c r="S43" i="12"/>
  <c r="K43" i="12"/>
  <c r="W41" i="12"/>
  <c r="S41" i="12"/>
  <c r="K41" i="12"/>
  <c r="W39" i="12"/>
  <c r="S39" i="12"/>
  <c r="K39" i="12"/>
  <c r="W37" i="12"/>
  <c r="S37" i="12"/>
  <c r="K37" i="12"/>
  <c r="W34" i="12"/>
  <c r="S34" i="12"/>
  <c r="K34" i="12"/>
  <c r="W33" i="12"/>
  <c r="S33" i="12"/>
  <c r="W32" i="12"/>
  <c r="S32" i="12"/>
  <c r="K32" i="12"/>
  <c r="W31" i="12"/>
  <c r="S31" i="12"/>
  <c r="K31" i="12"/>
  <c r="W30" i="12"/>
  <c r="S30" i="12"/>
  <c r="K30" i="12"/>
  <c r="W29" i="12"/>
  <c r="K29" i="12"/>
  <c r="Y69" i="15"/>
  <c r="Y70" i="15" s="1"/>
  <c r="Y71" i="15" s="1"/>
  <c r="Y72" i="15" s="1"/>
  <c r="Y73" i="15" s="1"/>
  <c r="Y74" i="15" s="1"/>
  <c r="Y75" i="15" s="1"/>
  <c r="Y76" i="15" s="1"/>
  <c r="Y77" i="15" s="1"/>
  <c r="X69" i="15"/>
  <c r="W69" i="15"/>
  <c r="W70" i="15" s="1"/>
  <c r="W71" i="15" s="1"/>
  <c r="W72" i="15" s="1"/>
  <c r="W73" i="15" s="1"/>
  <c r="W74" i="15" s="1"/>
  <c r="W75" i="15" s="1"/>
  <c r="W76" i="15" s="1"/>
  <c r="W77" i="15" s="1"/>
  <c r="V69" i="15"/>
  <c r="V70" i="15" s="1"/>
  <c r="V71" i="15" s="1"/>
  <c r="V72" i="15" s="1"/>
  <c r="V73" i="15" s="1"/>
  <c r="V74" i="15" s="1"/>
  <c r="V75" i="15" s="1"/>
  <c r="V76" i="15" s="1"/>
  <c r="V77" i="15" s="1"/>
  <c r="Y88" i="15"/>
  <c r="Y89" i="15" s="1"/>
  <c r="Y90" i="15" s="1"/>
  <c r="Y91" i="15" s="1"/>
  <c r="Y92" i="15" s="1"/>
  <c r="Y93" i="15" s="1"/>
  <c r="Y94" i="15" s="1"/>
  <c r="Y95" i="15" s="1"/>
  <c r="Y96" i="15" s="1"/>
  <c r="X88" i="15"/>
  <c r="W88" i="15"/>
  <c r="V88" i="15"/>
  <c r="Z88" i="13"/>
  <c r="Y88" i="13"/>
  <c r="Y89" i="13" s="1"/>
  <c r="Y90" i="13" s="1"/>
  <c r="Y91" i="13" s="1"/>
  <c r="Y92" i="13" s="1"/>
  <c r="Y93" i="13" s="1"/>
  <c r="Y94" i="13" s="1"/>
  <c r="Y95" i="13" s="1"/>
  <c r="Y96" i="13" s="1"/>
  <c r="X88" i="13"/>
  <c r="AC69" i="13"/>
  <c r="AC70" i="13" s="1"/>
  <c r="AF69" i="13"/>
  <c r="AF70" i="13" s="1"/>
  <c r="AF71" i="13" s="1"/>
  <c r="AF72" i="13" s="1"/>
  <c r="AF73" i="13" s="1"/>
  <c r="AF74" i="13" s="1"/>
  <c r="AF75" i="13" s="1"/>
  <c r="AF76" i="13" s="1"/>
  <c r="AF77" i="13" s="1"/>
  <c r="AB69" i="13"/>
  <c r="AB70" i="13" s="1"/>
  <c r="AB71" i="13" s="1"/>
  <c r="AB72" i="13" s="1"/>
  <c r="AB73" i="13" s="1"/>
  <c r="AB74" i="13" s="1"/>
  <c r="AB75" i="13" s="1"/>
  <c r="AB76" i="13" s="1"/>
  <c r="AB77" i="13" s="1"/>
  <c r="AA69" i="13"/>
  <c r="AC128" i="10"/>
  <c r="AB128" i="10"/>
  <c r="AA128" i="10"/>
  <c r="Z128" i="10"/>
  <c r="AC111" i="10"/>
  <c r="AC112" i="10" s="1"/>
  <c r="AB111" i="10"/>
  <c r="AA111" i="10"/>
  <c r="AA112" i="10" s="1"/>
  <c r="AA113" i="10" s="1"/>
  <c r="AA114" i="10" s="1"/>
  <c r="AA115" i="10" s="1"/>
  <c r="AA116" i="10" s="1"/>
  <c r="AA117" i="10" s="1"/>
  <c r="AA118" i="10" s="1"/>
  <c r="AA119" i="10" s="1"/>
  <c r="Z111" i="10"/>
  <c r="AC94" i="10"/>
  <c r="AC95" i="10" s="1"/>
  <c r="AB94" i="10"/>
  <c r="AB95" i="10" s="1"/>
  <c r="AA94" i="10"/>
  <c r="AA95" i="10" s="1"/>
  <c r="AA96" i="10" s="1"/>
  <c r="AA97" i="10" s="1"/>
  <c r="AA98" i="10" s="1"/>
  <c r="AA99" i="10" s="1"/>
  <c r="AA100" i="10" s="1"/>
  <c r="AA101" i="10" s="1"/>
  <c r="AA102" i="10" s="1"/>
  <c r="Z94" i="10"/>
  <c r="AH61" i="12"/>
  <c r="AC88" i="15"/>
  <c r="AC89" i="15" s="1"/>
  <c r="AA88" i="15"/>
  <c r="AA89" i="15" s="1"/>
  <c r="U88" i="15"/>
  <c r="T88" i="15"/>
  <c r="S88" i="15"/>
  <c r="Z88" i="15"/>
  <c r="Z89" i="15" s="1"/>
  <c r="Z90" i="15" s="1"/>
  <c r="Z91" i="15" s="1"/>
  <c r="Z92" i="15" s="1"/>
  <c r="Z93" i="15" s="1"/>
  <c r="Z94" i="15" s="1"/>
  <c r="Z95" i="15" s="1"/>
  <c r="Z96" i="15" s="1"/>
  <c r="R88" i="15"/>
  <c r="AC69" i="15"/>
  <c r="AC70" i="15" s="1"/>
  <c r="AB69" i="15"/>
  <c r="AA69" i="15"/>
  <c r="AA70" i="15" s="1"/>
  <c r="AA71" i="15" s="1"/>
  <c r="AA72" i="15" s="1"/>
  <c r="AA73" i="15" s="1"/>
  <c r="AA74" i="15" s="1"/>
  <c r="AA75" i="15" s="1"/>
  <c r="AA76" i="15" s="1"/>
  <c r="AA77" i="15" s="1"/>
  <c r="Z69" i="15"/>
  <c r="Z70" i="15" s="1"/>
  <c r="U69" i="15"/>
  <c r="T69" i="15"/>
  <c r="T70" i="15" s="1"/>
  <c r="S69" i="15"/>
  <c r="AG128" i="10"/>
  <c r="AE128" i="10"/>
  <c r="AE129" i="10" s="1"/>
  <c r="AE130" i="10" s="1"/>
  <c r="AE131" i="10" s="1"/>
  <c r="AE132" i="10" s="1"/>
  <c r="AE133" i="10" s="1"/>
  <c r="AE134" i="10" s="1"/>
  <c r="AE135" i="10" s="1"/>
  <c r="AE136" i="10" s="1"/>
  <c r="AG111" i="10"/>
  <c r="AF111" i="10"/>
  <c r="AF112" i="10" s="1"/>
  <c r="AF113" i="10" s="1"/>
  <c r="AF114" i="10" s="1"/>
  <c r="AF115" i="10" s="1"/>
  <c r="AF116" i="10" s="1"/>
  <c r="AF117" i="10" s="1"/>
  <c r="AF118" i="10" s="1"/>
  <c r="AF119" i="10" s="1"/>
  <c r="AE111" i="10"/>
  <c r="AE112" i="10" s="1"/>
  <c r="Y129" i="10"/>
  <c r="Y130" i="10" s="1"/>
  <c r="Y131" i="10" s="1"/>
  <c r="Y132" i="10" s="1"/>
  <c r="Y133" i="10" s="1"/>
  <c r="Y134" i="10" s="1"/>
  <c r="Y135" i="10" s="1"/>
  <c r="Y136" i="10" s="1"/>
  <c r="X128" i="10"/>
  <c r="X129" i="10" s="1"/>
  <c r="X130" i="10" s="1"/>
  <c r="X131" i="10" s="1"/>
  <c r="X132" i="10" s="1"/>
  <c r="X133" i="10" s="1"/>
  <c r="X134" i="10" s="1"/>
  <c r="X135" i="10" s="1"/>
  <c r="X136" i="10" s="1"/>
  <c r="W128" i="10"/>
  <c r="Y111" i="10"/>
  <c r="W111" i="10"/>
  <c r="W112" i="10" s="1"/>
  <c r="AG94" i="10"/>
  <c r="AF94" i="10"/>
  <c r="AE94" i="10"/>
  <c r="Y94" i="10"/>
  <c r="X94" i="10"/>
  <c r="W94" i="10"/>
  <c r="W95" i="10" s="1"/>
  <c r="AD128" i="10"/>
  <c r="V128" i="10"/>
  <c r="V129" i="10" s="1"/>
  <c r="V130" i="10" s="1"/>
  <c r="V131" i="10" s="1"/>
  <c r="V132" i="10" s="1"/>
  <c r="V133" i="10" s="1"/>
  <c r="V134" i="10" s="1"/>
  <c r="V135" i="10" s="1"/>
  <c r="V136" i="10" s="1"/>
  <c r="AD111" i="10"/>
  <c r="V111" i="10"/>
  <c r="V94" i="10"/>
  <c r="AD94" i="10"/>
  <c r="AD95" i="10" s="1"/>
  <c r="AD96" i="10" s="1"/>
  <c r="AD97" i="10" s="1"/>
  <c r="AD98" i="10" s="1"/>
  <c r="AD99" i="10" s="1"/>
  <c r="AD100" i="10" s="1"/>
  <c r="AD101" i="10" s="1"/>
  <c r="AD102" i="10" s="1"/>
  <c r="W88" i="13"/>
  <c r="U88" i="13"/>
  <c r="AG62" i="12" l="1"/>
  <c r="AG63" i="12" s="1"/>
  <c r="AG64" i="12" s="1"/>
  <c r="AG65" i="12" s="1"/>
  <c r="AG66" i="12" s="1"/>
  <c r="AG67" i="12" s="1"/>
  <c r="AG68" i="12" s="1"/>
  <c r="AG69" i="12" s="1"/>
  <c r="AH62" i="12"/>
  <c r="AH63" i="12" s="1"/>
  <c r="AH64" i="12" s="1"/>
  <c r="AH65" i="12" s="1"/>
  <c r="AH66" i="12" s="1"/>
  <c r="AH67" i="12" s="1"/>
  <c r="AH68" i="12" s="1"/>
  <c r="AH69" i="12" s="1"/>
  <c r="AE70" i="13"/>
  <c r="AE71" i="13" s="1"/>
  <c r="AE72" i="13" s="1"/>
  <c r="AE73" i="13" s="1"/>
  <c r="AE74" i="13" s="1"/>
  <c r="AE75" i="13" s="1"/>
  <c r="AE76" i="13" s="1"/>
  <c r="AE77" i="13" s="1"/>
  <c r="AC113" i="10"/>
  <c r="AC114" i="10" s="1"/>
  <c r="AC115" i="10" s="1"/>
  <c r="AC116" i="10" s="1"/>
  <c r="AC117" i="10" s="1"/>
  <c r="AC118" i="10" s="1"/>
  <c r="AC119" i="10" s="1"/>
  <c r="AC129" i="10"/>
  <c r="AC130" i="10" s="1"/>
  <c r="AC131" i="10" s="1"/>
  <c r="AC132" i="10" s="1"/>
  <c r="AC133" i="10" s="1"/>
  <c r="AC134" i="10" s="1"/>
  <c r="AC135" i="10" s="1"/>
  <c r="AC136" i="10" s="1"/>
  <c r="AG129" i="10"/>
  <c r="AG130" i="10" s="1"/>
  <c r="AG131" i="10" s="1"/>
  <c r="AG132" i="10" s="1"/>
  <c r="AG133" i="10" s="1"/>
  <c r="AG134" i="10" s="1"/>
  <c r="AG135" i="10" s="1"/>
  <c r="AG136" i="10" s="1"/>
  <c r="U70" i="15"/>
  <c r="AG95" i="10"/>
  <c r="AG96" i="10" s="1"/>
  <c r="AG97" i="10" s="1"/>
  <c r="AG98" i="10" s="1"/>
  <c r="AG99" i="10" s="1"/>
  <c r="AG100" i="10" s="1"/>
  <c r="AG101" i="10" s="1"/>
  <c r="AG102" i="10" s="1"/>
  <c r="AD112" i="10"/>
  <c r="AD113" i="10" s="1"/>
  <c r="AD114" i="10" s="1"/>
  <c r="AD115" i="10" s="1"/>
  <c r="AD116" i="10" s="1"/>
  <c r="AD117" i="10" s="1"/>
  <c r="AD118" i="10" s="1"/>
  <c r="AD119" i="10" s="1"/>
  <c r="U89" i="15"/>
  <c r="AB70" i="15"/>
  <c r="T89" i="15"/>
  <c r="T90" i="15" s="1"/>
  <c r="T91" i="15" s="1"/>
  <c r="T92" i="15" s="1"/>
  <c r="T93" i="15" s="1"/>
  <c r="T94" i="15" s="1"/>
  <c r="T95" i="15" s="1"/>
  <c r="T96" i="15" s="1"/>
  <c r="AB89" i="15"/>
  <c r="X89" i="15"/>
  <c r="X90" i="15" s="1"/>
  <c r="X91" i="15" s="1"/>
  <c r="X92" i="15" s="1"/>
  <c r="X93" i="15" s="1"/>
  <c r="X94" i="15" s="1"/>
  <c r="X95" i="15" s="1"/>
  <c r="X96" i="15" s="1"/>
  <c r="X70" i="15"/>
  <c r="X71" i="15" s="1"/>
  <c r="X72" i="15" s="1"/>
  <c r="X73" i="15" s="1"/>
  <c r="X74" i="15" s="1"/>
  <c r="X75" i="15" s="1"/>
  <c r="X76" i="15" s="1"/>
  <c r="X77" i="15" s="1"/>
  <c r="S89" i="15"/>
  <c r="S70" i="15"/>
  <c r="V89" i="15"/>
  <c r="V90" i="15" s="1"/>
  <c r="V91" i="15" s="1"/>
  <c r="V92" i="15" s="1"/>
  <c r="V93" i="15" s="1"/>
  <c r="V94" i="15" s="1"/>
  <c r="V95" i="15" s="1"/>
  <c r="V96" i="15" s="1"/>
  <c r="Y70" i="13"/>
  <c r="Y71" i="13" s="1"/>
  <c r="Y72" i="13" s="1"/>
  <c r="Y73" i="13" s="1"/>
  <c r="Y74" i="13" s="1"/>
  <c r="Y75" i="13" s="1"/>
  <c r="Y76" i="13" s="1"/>
  <c r="Y77" i="13" s="1"/>
  <c r="W113" i="10"/>
  <c r="W114" i="10" s="1"/>
  <c r="W115" i="10" s="1"/>
  <c r="W116" i="10" s="1"/>
  <c r="W117" i="10" s="1"/>
  <c r="W118" i="10" s="1"/>
  <c r="W119" i="10" s="1"/>
  <c r="AE113" i="10"/>
  <c r="AE114" i="10" s="1"/>
  <c r="AE115" i="10" s="1"/>
  <c r="AE116" i="10" s="1"/>
  <c r="AE117" i="10" s="1"/>
  <c r="AE118" i="10" s="1"/>
  <c r="AE119" i="10" s="1"/>
  <c r="AA70" i="13"/>
  <c r="AA71" i="13" s="1"/>
  <c r="AA72" i="13" s="1"/>
  <c r="AA73" i="13" s="1"/>
  <c r="AA74" i="13" s="1"/>
  <c r="AA75" i="13" s="1"/>
  <c r="AA76" i="13" s="1"/>
  <c r="AA77" i="13" s="1"/>
  <c r="X89" i="13"/>
  <c r="X90" i="13" s="1"/>
  <c r="X91" i="13" s="1"/>
  <c r="X92" i="13" s="1"/>
  <c r="X93" i="13" s="1"/>
  <c r="X94" i="13" s="1"/>
  <c r="X95" i="13" s="1"/>
  <c r="X96" i="13" s="1"/>
  <c r="AD70" i="13"/>
  <c r="Z89" i="13"/>
  <c r="Z90" i="13" s="1"/>
  <c r="Z91" i="13" s="1"/>
  <c r="Z92" i="13" s="1"/>
  <c r="Z93" i="13" s="1"/>
  <c r="Z94" i="13" s="1"/>
  <c r="Z95" i="13" s="1"/>
  <c r="Z96" i="13" s="1"/>
  <c r="Z70" i="13"/>
  <c r="Z71" i="13" s="1"/>
  <c r="Z72" i="13" s="1"/>
  <c r="Z73" i="13" s="1"/>
  <c r="Z74" i="13" s="1"/>
  <c r="Z75" i="13" s="1"/>
  <c r="Z76" i="13" s="1"/>
  <c r="Z77" i="13" s="1"/>
  <c r="AB89" i="13"/>
  <c r="W89" i="15"/>
  <c r="W90" i="15" s="1"/>
  <c r="W91" i="15" s="1"/>
  <c r="W92" i="15" s="1"/>
  <c r="W93" i="15" s="1"/>
  <c r="W94" i="15" s="1"/>
  <c r="W95" i="15" s="1"/>
  <c r="W96" i="15" s="1"/>
  <c r="W96" i="10"/>
  <c r="W97" i="10" s="1"/>
  <c r="W98" i="10" s="1"/>
  <c r="W99" i="10" s="1"/>
  <c r="W100" i="10" s="1"/>
  <c r="W101" i="10" s="1"/>
  <c r="W102" i="10" s="1"/>
  <c r="AE95" i="10"/>
  <c r="AE96" i="10" s="1"/>
  <c r="AE97" i="10" s="1"/>
  <c r="AE98" i="10" s="1"/>
  <c r="AE99" i="10" s="1"/>
  <c r="AE100" i="10" s="1"/>
  <c r="AE101" i="10" s="1"/>
  <c r="AE102" i="10" s="1"/>
  <c r="AA129" i="10"/>
  <c r="AA130" i="10" s="1"/>
  <c r="AA131" i="10" s="1"/>
  <c r="AA132" i="10" s="1"/>
  <c r="AA133" i="10" s="1"/>
  <c r="AA134" i="10" s="1"/>
  <c r="AA135" i="10" s="1"/>
  <c r="AA136" i="10" s="1"/>
  <c r="W129" i="10"/>
  <c r="W130" i="10" s="1"/>
  <c r="W131" i="10" s="1"/>
  <c r="W132" i="10" s="1"/>
  <c r="W133" i="10" s="1"/>
  <c r="W134" i="10" s="1"/>
  <c r="W135" i="10" s="1"/>
  <c r="W136" i="10" s="1"/>
  <c r="AC96" i="10"/>
  <c r="AC97" i="10" s="1"/>
  <c r="AC98" i="10" s="1"/>
  <c r="AC99" i="10" s="1"/>
  <c r="AC100" i="10" s="1"/>
  <c r="AC101" i="10" s="1"/>
  <c r="AC102" i="10" s="1"/>
  <c r="Y95" i="10"/>
  <c r="Y96" i="10" s="1"/>
  <c r="Y97" i="10" s="1"/>
  <c r="Y98" i="10" s="1"/>
  <c r="Y99" i="10" s="1"/>
  <c r="Y100" i="10" s="1"/>
  <c r="Y101" i="10" s="1"/>
  <c r="Y102" i="10" s="1"/>
  <c r="V112" i="10"/>
  <c r="V113" i="10" s="1"/>
  <c r="V114" i="10" s="1"/>
  <c r="V115" i="10" s="1"/>
  <c r="V116" i="10" s="1"/>
  <c r="V117" i="10" s="1"/>
  <c r="V118" i="10" s="1"/>
  <c r="V119" i="10" s="1"/>
  <c r="Z112" i="10"/>
  <c r="Z113" i="10" s="1"/>
  <c r="Z114" i="10" s="1"/>
  <c r="Z115" i="10" s="1"/>
  <c r="Z116" i="10" s="1"/>
  <c r="Z117" i="10" s="1"/>
  <c r="Z118" i="10" s="1"/>
  <c r="Z119" i="10" s="1"/>
  <c r="Z95" i="10"/>
  <c r="Z96" i="10" s="1"/>
  <c r="Z97" i="10" s="1"/>
  <c r="Z98" i="10" s="1"/>
  <c r="Z99" i="10" s="1"/>
  <c r="Z100" i="10" s="1"/>
  <c r="Z101" i="10" s="1"/>
  <c r="Z102" i="10" s="1"/>
  <c r="AB96" i="10"/>
  <c r="AB97" i="10" s="1"/>
  <c r="AB98" i="10" s="1"/>
  <c r="AB99" i="10" s="1"/>
  <c r="AB100" i="10" s="1"/>
  <c r="AB101" i="10" s="1"/>
  <c r="AB102" i="10" s="1"/>
  <c r="X95" i="10"/>
  <c r="X96" i="10" s="1"/>
  <c r="X97" i="10" s="1"/>
  <c r="X98" i="10" s="1"/>
  <c r="X99" i="10" s="1"/>
  <c r="X100" i="10" s="1"/>
  <c r="X101" i="10" s="1"/>
  <c r="X102" i="10" s="1"/>
  <c r="AF95" i="10"/>
  <c r="AF96" i="10" s="1"/>
  <c r="AF97" i="10" s="1"/>
  <c r="AF98" i="10" s="1"/>
  <c r="AF99" i="10" s="1"/>
  <c r="AF100" i="10" s="1"/>
  <c r="AF101" i="10" s="1"/>
  <c r="AF102" i="10" s="1"/>
  <c r="AB112" i="10"/>
  <c r="AB113" i="10" s="1"/>
  <c r="AB114" i="10" s="1"/>
  <c r="AB115" i="10" s="1"/>
  <c r="AB116" i="10" s="1"/>
  <c r="AB117" i="10" s="1"/>
  <c r="AB118" i="10" s="1"/>
  <c r="AB119" i="10" s="1"/>
  <c r="Y112" i="10"/>
  <c r="Y113" i="10" s="1"/>
  <c r="Y114" i="10" s="1"/>
  <c r="Y115" i="10" s="1"/>
  <c r="Y116" i="10" s="1"/>
  <c r="Y117" i="10" s="1"/>
  <c r="Y118" i="10" s="1"/>
  <c r="Y119" i="10" s="1"/>
  <c r="AG112" i="10"/>
  <c r="AG113" i="10" s="1"/>
  <c r="AG114" i="10" s="1"/>
  <c r="AG115" i="10" s="1"/>
  <c r="AG116" i="10" s="1"/>
  <c r="AG117" i="10" s="1"/>
  <c r="AG118" i="10" s="1"/>
  <c r="AG119" i="10" s="1"/>
  <c r="AF129" i="10"/>
  <c r="AF130" i="10" s="1"/>
  <c r="AF131" i="10" s="1"/>
  <c r="AF132" i="10" s="1"/>
  <c r="AF133" i="10" s="1"/>
  <c r="AF134" i="10" s="1"/>
  <c r="AF135" i="10" s="1"/>
  <c r="AF136" i="10" s="1"/>
  <c r="AB129" i="10"/>
  <c r="AB130" i="10" s="1"/>
  <c r="AB131" i="10" s="1"/>
  <c r="AB132" i="10" s="1"/>
  <c r="AB133" i="10" s="1"/>
  <c r="AB134" i="10" s="1"/>
  <c r="AB135" i="10" s="1"/>
  <c r="AB136" i="10" s="1"/>
  <c r="Z129" i="10"/>
  <c r="Z130" i="10" s="1"/>
  <c r="Z131" i="10" s="1"/>
  <c r="Z132" i="10" s="1"/>
  <c r="Z133" i="10" s="1"/>
  <c r="Z134" i="10" s="1"/>
  <c r="Z135" i="10" s="1"/>
  <c r="Z136" i="10" s="1"/>
  <c r="AD129" i="10"/>
  <c r="AD130" i="10" s="1"/>
  <c r="AD131" i="10" s="1"/>
  <c r="AD132" i="10" s="1"/>
  <c r="AD133" i="10" s="1"/>
  <c r="AD134" i="10" s="1"/>
  <c r="AD135" i="10" s="1"/>
  <c r="AD136" i="10" s="1"/>
  <c r="R89" i="15"/>
  <c r="V95" i="10"/>
  <c r="V96" i="10" s="1"/>
  <c r="V97" i="10" s="1"/>
  <c r="V98" i="10" s="1"/>
  <c r="V99" i="10" s="1"/>
  <c r="V100" i="10" s="1"/>
  <c r="V101" i="10" s="1"/>
  <c r="V102" i="10" s="1"/>
  <c r="W89" i="13" l="1"/>
  <c r="V88" i="13"/>
  <c r="U89" i="13"/>
  <c r="X69" i="13"/>
  <c r="W69" i="13"/>
  <c r="V69" i="13"/>
  <c r="U69" i="13"/>
  <c r="U70" i="13" s="1"/>
  <c r="AE61" i="12"/>
  <c r="AD61" i="12"/>
  <c r="AC61" i="12"/>
  <c r="AB61" i="12"/>
  <c r="AA61" i="12"/>
  <c r="Z61" i="12"/>
  <c r="Y61" i="12"/>
  <c r="K36" i="15"/>
  <c r="K53" i="15"/>
  <c r="S36" i="15"/>
  <c r="S37" i="15"/>
  <c r="S38" i="15"/>
  <c r="S39" i="15"/>
  <c r="S40" i="15"/>
  <c r="S41" i="15"/>
  <c r="S42" i="15"/>
  <c r="S43" i="15"/>
  <c r="S44" i="15"/>
  <c r="S45" i="15"/>
  <c r="S46" i="15"/>
  <c r="S47" i="15"/>
  <c r="S48" i="15"/>
  <c r="S49" i="15"/>
  <c r="S50" i="15"/>
  <c r="S51" i="15"/>
  <c r="S52" i="15"/>
  <c r="S53" i="15"/>
  <c r="S54" i="15"/>
  <c r="S55" i="15"/>
  <c r="S56" i="15"/>
  <c r="S57" i="15"/>
  <c r="S58" i="15"/>
  <c r="S59" i="15"/>
  <c r="S60" i="15"/>
  <c r="S61" i="15"/>
  <c r="S35" i="15"/>
  <c r="X61" i="12"/>
  <c r="O60" i="15"/>
  <c r="K60" i="15"/>
  <c r="G60" i="15"/>
  <c r="O59" i="15"/>
  <c r="K59" i="15"/>
  <c r="G59" i="15"/>
  <c r="O58" i="15"/>
  <c r="K58" i="15"/>
  <c r="G58" i="15"/>
  <c r="O55" i="15"/>
  <c r="K55" i="15"/>
  <c r="G55" i="15"/>
  <c r="O53" i="15"/>
  <c r="G53" i="15"/>
  <c r="O51" i="15"/>
  <c r="K51" i="15"/>
  <c r="G51" i="15"/>
  <c r="O49" i="15"/>
  <c r="K49" i="15"/>
  <c r="G49" i="15"/>
  <c r="O47" i="15"/>
  <c r="K47" i="15"/>
  <c r="G47" i="15"/>
  <c r="O45" i="15"/>
  <c r="K45" i="15"/>
  <c r="G45" i="15"/>
  <c r="O43" i="15"/>
  <c r="K43" i="15"/>
  <c r="G43" i="15"/>
  <c r="O40" i="15"/>
  <c r="K40" i="15"/>
  <c r="G40" i="15"/>
  <c r="O39" i="15"/>
  <c r="K39" i="15"/>
  <c r="G39" i="15"/>
  <c r="O38" i="15"/>
  <c r="K38" i="15"/>
  <c r="G38" i="15"/>
  <c r="O37" i="15"/>
  <c r="K37" i="15"/>
  <c r="G37" i="15"/>
  <c r="O36" i="15"/>
  <c r="G36" i="15"/>
  <c r="O35" i="15"/>
  <c r="K35" i="15"/>
  <c r="G35" i="15"/>
  <c r="S30" i="15"/>
  <c r="O30" i="15"/>
  <c r="K30" i="15"/>
  <c r="S29" i="15"/>
  <c r="O29" i="15"/>
  <c r="K29" i="15"/>
  <c r="G29" i="15"/>
  <c r="S28" i="15"/>
  <c r="O28" i="15"/>
  <c r="K28" i="15"/>
  <c r="G28" i="15"/>
  <c r="S27" i="15"/>
  <c r="O27" i="15"/>
  <c r="K27" i="15"/>
  <c r="G27" i="15"/>
  <c r="K26" i="15"/>
  <c r="K25" i="15"/>
  <c r="S24" i="15"/>
  <c r="O24" i="15"/>
  <c r="K24" i="15"/>
  <c r="G24" i="15"/>
  <c r="K23" i="15"/>
  <c r="S22" i="15"/>
  <c r="O22" i="15"/>
  <c r="K22" i="15"/>
  <c r="G22" i="15"/>
  <c r="K21" i="15"/>
  <c r="S20" i="15"/>
  <c r="O20" i="15"/>
  <c r="K20" i="15"/>
  <c r="G20" i="15"/>
  <c r="K19" i="15"/>
  <c r="S18" i="15"/>
  <c r="O18" i="15"/>
  <c r="K18" i="15"/>
  <c r="G18" i="15"/>
  <c r="K17" i="15"/>
  <c r="S16" i="15"/>
  <c r="O16" i="15"/>
  <c r="K16" i="15"/>
  <c r="G16" i="15"/>
  <c r="K15" i="15"/>
  <c r="S14" i="15"/>
  <c r="O14" i="15"/>
  <c r="K14" i="15"/>
  <c r="G14" i="15"/>
  <c r="K13" i="15"/>
  <c r="S12" i="15"/>
  <c r="O12" i="15"/>
  <c r="K12" i="15"/>
  <c r="G12" i="15"/>
  <c r="K11" i="15"/>
  <c r="K10" i="15"/>
  <c r="S9" i="15"/>
  <c r="O9" i="15"/>
  <c r="K9" i="15"/>
  <c r="G9" i="15"/>
  <c r="S8" i="15"/>
  <c r="O8" i="15"/>
  <c r="K8" i="15"/>
  <c r="G8" i="15"/>
  <c r="S7" i="15"/>
  <c r="O7" i="15"/>
  <c r="K7" i="15"/>
  <c r="G7" i="15"/>
  <c r="S6" i="15"/>
  <c r="O6" i="15"/>
  <c r="K6" i="15"/>
  <c r="G6" i="15"/>
  <c r="S5" i="15"/>
  <c r="O5" i="15"/>
  <c r="K5" i="15"/>
  <c r="G5" i="15"/>
  <c r="S4" i="15"/>
  <c r="O4" i="15"/>
  <c r="K4" i="15"/>
  <c r="G4" i="15"/>
  <c r="O4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5" i="13"/>
  <c r="O6" i="13"/>
  <c r="O7" i="13"/>
  <c r="O8" i="13"/>
  <c r="O9" i="13"/>
  <c r="O28" i="10"/>
  <c r="O29" i="10"/>
  <c r="S60" i="13"/>
  <c r="S59" i="13"/>
  <c r="S58" i="13"/>
  <c r="S55" i="13"/>
  <c r="S53" i="13"/>
  <c r="S51" i="13"/>
  <c r="S49" i="13"/>
  <c r="S47" i="13"/>
  <c r="S45" i="13"/>
  <c r="S43" i="13"/>
  <c r="S40" i="13"/>
  <c r="S39" i="13"/>
  <c r="S38" i="13"/>
  <c r="S37" i="13"/>
  <c r="S36" i="13"/>
  <c r="S35" i="13"/>
  <c r="S30" i="13"/>
  <c r="S29" i="13"/>
  <c r="S28" i="13"/>
  <c r="S27" i="13"/>
  <c r="S24" i="13"/>
  <c r="S22" i="13"/>
  <c r="S20" i="13"/>
  <c r="S18" i="13"/>
  <c r="S16" i="13"/>
  <c r="S14" i="13"/>
  <c r="S12" i="13"/>
  <c r="S9" i="13"/>
  <c r="S8" i="13"/>
  <c r="S7" i="13"/>
  <c r="S6" i="13"/>
  <c r="S5" i="13"/>
  <c r="S4" i="13"/>
  <c r="O60" i="13"/>
  <c r="O59" i="13"/>
  <c r="O58" i="13"/>
  <c r="O55" i="13"/>
  <c r="O53" i="13"/>
  <c r="O51" i="13"/>
  <c r="O49" i="13"/>
  <c r="O47" i="13"/>
  <c r="O45" i="13"/>
  <c r="O43" i="13"/>
  <c r="O40" i="13"/>
  <c r="O39" i="13"/>
  <c r="O38" i="13"/>
  <c r="O37" i="13"/>
  <c r="O36" i="13"/>
  <c r="O35" i="13"/>
  <c r="S79" i="10"/>
  <c r="S77" i="10"/>
  <c r="S75" i="10"/>
  <c r="S73" i="10"/>
  <c r="S71" i="10"/>
  <c r="S69" i="10"/>
  <c r="S67" i="10"/>
  <c r="S64" i="10"/>
  <c r="S63" i="10"/>
  <c r="S62" i="10"/>
  <c r="S61" i="10"/>
  <c r="S60" i="10"/>
  <c r="S59" i="10"/>
  <c r="S24" i="10"/>
  <c r="S22" i="10"/>
  <c r="S20" i="10"/>
  <c r="S18" i="10"/>
  <c r="S16" i="10"/>
  <c r="S14" i="10"/>
  <c r="S12" i="10"/>
  <c r="S11" i="10"/>
  <c r="S10" i="10"/>
  <c r="S9" i="10"/>
  <c r="S8" i="10"/>
  <c r="S7" i="10"/>
  <c r="S6" i="10"/>
  <c r="S5" i="10"/>
  <c r="S4" i="10"/>
  <c r="O24" i="10"/>
  <c r="O22" i="10"/>
  <c r="O20" i="10"/>
  <c r="O18" i="10"/>
  <c r="O16" i="10"/>
  <c r="O14" i="10"/>
  <c r="O12" i="10"/>
  <c r="O11" i="10"/>
  <c r="O10" i="10"/>
  <c r="O9" i="10"/>
  <c r="O8" i="10"/>
  <c r="O7" i="10"/>
  <c r="O6" i="10"/>
  <c r="O5" i="10"/>
  <c r="S26" i="12"/>
  <c r="S25" i="12"/>
  <c r="S24" i="12"/>
  <c r="S23" i="12"/>
  <c r="S22" i="12"/>
  <c r="S21" i="12"/>
  <c r="S20" i="12"/>
  <c r="S19" i="12"/>
  <c r="S18" i="12"/>
  <c r="S17" i="12"/>
  <c r="S16" i="12"/>
  <c r="S15" i="12"/>
  <c r="S14" i="12"/>
  <c r="S13" i="12"/>
  <c r="S12" i="12"/>
  <c r="S11" i="12"/>
  <c r="S10" i="12"/>
  <c r="S9" i="12"/>
  <c r="S8" i="12"/>
  <c r="S7" i="12"/>
  <c r="S6" i="12"/>
  <c r="S5" i="12"/>
  <c r="S4" i="12"/>
  <c r="S3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V70" i="13" l="1"/>
  <c r="V71" i="13" s="1"/>
  <c r="V72" i="13" s="1"/>
  <c r="V73" i="13" s="1"/>
  <c r="V74" i="13" s="1"/>
  <c r="V75" i="13" s="1"/>
  <c r="V76" i="13" s="1"/>
  <c r="V77" i="13" s="1"/>
  <c r="W70" i="13"/>
  <c r="V89" i="13"/>
  <c r="V90" i="13" s="1"/>
  <c r="V91" i="13" s="1"/>
  <c r="V92" i="13" s="1"/>
  <c r="V93" i="13" s="1"/>
  <c r="V94" i="13" s="1"/>
  <c r="V95" i="13" s="1"/>
  <c r="V96" i="13" s="1"/>
  <c r="X70" i="13"/>
  <c r="X71" i="13" s="1"/>
  <c r="X72" i="13" s="1"/>
  <c r="X73" i="13" s="1"/>
  <c r="X74" i="13" s="1"/>
  <c r="X75" i="13" s="1"/>
  <c r="X76" i="13" s="1"/>
  <c r="X77" i="13" s="1"/>
  <c r="AB62" i="12"/>
  <c r="AB63" i="12" s="1"/>
  <c r="AB64" i="12" s="1"/>
  <c r="AB65" i="12" s="1"/>
  <c r="AB66" i="12" s="1"/>
  <c r="AB67" i="12" s="1"/>
  <c r="AB68" i="12" s="1"/>
  <c r="Z62" i="12"/>
  <c r="Z63" i="12" s="1"/>
  <c r="Z64" i="12" s="1"/>
  <c r="Z65" i="12" s="1"/>
  <c r="Z66" i="12" s="1"/>
  <c r="Z67" i="12" s="1"/>
  <c r="Z68" i="12" s="1"/>
  <c r="Z69" i="12" s="1"/>
  <c r="Y62" i="12"/>
  <c r="Y63" i="12" s="1"/>
  <c r="Y64" i="12" s="1"/>
  <c r="Y65" i="12" s="1"/>
  <c r="Y66" i="12" s="1"/>
  <c r="Y67" i="12" s="1"/>
  <c r="Y68" i="12" s="1"/>
  <c r="Y69" i="12" s="1"/>
  <c r="X62" i="12"/>
  <c r="X63" i="12" s="1"/>
  <c r="X64" i="12" s="1"/>
  <c r="X65" i="12" s="1"/>
  <c r="X66" i="12" s="1"/>
  <c r="X67" i="12" s="1"/>
  <c r="X68" i="12" s="1"/>
  <c r="X69" i="12" s="1"/>
  <c r="AC62" i="12"/>
  <c r="AC63" i="12" s="1"/>
  <c r="AC64" i="12" s="1"/>
  <c r="AC65" i="12" s="1"/>
  <c r="AC66" i="12" s="1"/>
  <c r="AC67" i="12" s="1"/>
  <c r="AC68" i="12" s="1"/>
  <c r="AC69" i="12" s="1"/>
  <c r="AD62" i="12"/>
  <c r="AD63" i="12" s="1"/>
  <c r="AD64" i="12" s="1"/>
  <c r="AD65" i="12" s="1"/>
  <c r="AD66" i="12" s="1"/>
  <c r="AD67" i="12" s="1"/>
  <c r="AD68" i="12" s="1"/>
  <c r="AD69" i="12" s="1"/>
  <c r="AA62" i="12"/>
  <c r="AA63" i="12" s="1"/>
  <c r="AA64" i="12" s="1"/>
  <c r="AA65" i="12" s="1"/>
  <c r="AA66" i="12" s="1"/>
  <c r="AA67" i="12" s="1"/>
  <c r="AA68" i="12" s="1"/>
  <c r="AA69" i="12" s="1"/>
  <c r="AE62" i="12"/>
  <c r="AE63" i="12" s="1"/>
  <c r="AE64" i="12" s="1"/>
  <c r="AE65" i="12" s="1"/>
  <c r="AE66" i="12" s="1"/>
  <c r="AE67" i="12" s="1"/>
  <c r="AE68" i="12" s="1"/>
  <c r="AE69" i="12" s="1"/>
  <c r="K4" i="13" l="1"/>
  <c r="W4" i="13"/>
  <c r="AA4" i="13"/>
  <c r="K5" i="13"/>
  <c r="W5" i="13"/>
  <c r="AA5" i="13"/>
  <c r="K6" i="13"/>
  <c r="W6" i="13"/>
  <c r="AA6" i="13"/>
  <c r="K7" i="13"/>
  <c r="W7" i="13"/>
  <c r="AA7" i="13"/>
  <c r="K8" i="13"/>
  <c r="W8" i="13"/>
  <c r="AA8" i="13"/>
  <c r="K9" i="13"/>
  <c r="W9" i="13"/>
  <c r="AA9" i="13"/>
  <c r="K12" i="13"/>
  <c r="W12" i="13"/>
  <c r="AA12" i="13"/>
  <c r="K14" i="13"/>
  <c r="W14" i="13"/>
  <c r="AA14" i="13"/>
  <c r="K16" i="13"/>
  <c r="W16" i="13"/>
  <c r="AA16" i="13"/>
  <c r="K18" i="13"/>
  <c r="W18" i="13"/>
  <c r="AA18" i="13"/>
  <c r="K20" i="13"/>
  <c r="W20" i="13"/>
  <c r="AA20" i="13"/>
  <c r="K22" i="13"/>
  <c r="W22" i="13"/>
  <c r="AA22" i="13"/>
  <c r="K24" i="13"/>
  <c r="W24" i="13"/>
  <c r="AA24" i="13"/>
  <c r="K27" i="13"/>
  <c r="W27" i="13"/>
  <c r="AA27" i="13"/>
  <c r="K28" i="13"/>
  <c r="W28" i="13"/>
  <c r="AA28" i="13"/>
  <c r="K29" i="13"/>
  <c r="W29" i="13"/>
  <c r="AA29" i="13"/>
  <c r="W30" i="13"/>
  <c r="AA30" i="13"/>
  <c r="K35" i="13"/>
  <c r="W35" i="13"/>
  <c r="G36" i="13"/>
  <c r="K36" i="13"/>
  <c r="W36" i="13"/>
  <c r="G37" i="13"/>
  <c r="K37" i="13"/>
  <c r="W37" i="13"/>
  <c r="G38" i="13"/>
  <c r="K38" i="13"/>
  <c r="W38" i="13"/>
  <c r="G39" i="13"/>
  <c r="K39" i="13"/>
  <c r="W39" i="13"/>
  <c r="G40" i="13"/>
  <c r="K40" i="13"/>
  <c r="W40" i="13"/>
  <c r="G43" i="13"/>
  <c r="K43" i="13"/>
  <c r="W43" i="13"/>
  <c r="G45" i="13"/>
  <c r="K45" i="13"/>
  <c r="W45" i="13"/>
  <c r="G47" i="13"/>
  <c r="K47" i="13"/>
  <c r="W47" i="13"/>
  <c r="G49" i="13"/>
  <c r="K49" i="13"/>
  <c r="W49" i="13"/>
  <c r="G51" i="13"/>
  <c r="K51" i="13"/>
  <c r="W51" i="13"/>
  <c r="G53" i="13"/>
  <c r="K53" i="13"/>
  <c r="W53" i="13"/>
  <c r="G55" i="13"/>
  <c r="K55" i="13"/>
  <c r="W55" i="13"/>
  <c r="G58" i="13"/>
  <c r="K58" i="13"/>
  <c r="W58" i="13"/>
  <c r="G59" i="13"/>
  <c r="K59" i="13"/>
  <c r="W59" i="13"/>
  <c r="G60" i="13"/>
  <c r="K60" i="13"/>
  <c r="W60" i="13"/>
  <c r="G61" i="13"/>
  <c r="W25" i="12" l="1"/>
  <c r="W26" i="12"/>
  <c r="K25" i="12"/>
  <c r="K26" i="12"/>
  <c r="AA25" i="12"/>
  <c r="AA26" i="12"/>
  <c r="G25" i="12" l="1"/>
  <c r="G26" i="12"/>
  <c r="AA56" i="12"/>
  <c r="W56" i="12"/>
  <c r="K56" i="12"/>
  <c r="G56" i="12"/>
  <c r="AA24" i="12"/>
  <c r="W24" i="12"/>
  <c r="K24" i="12"/>
  <c r="G24" i="12"/>
  <c r="AA23" i="12"/>
  <c r="W23" i="12"/>
  <c r="K23" i="12"/>
  <c r="G23" i="12"/>
  <c r="AA22" i="12"/>
  <c r="W22" i="12"/>
  <c r="K22" i="12"/>
  <c r="G22" i="12"/>
  <c r="AA21" i="12"/>
  <c r="W21" i="12"/>
  <c r="K21" i="12"/>
  <c r="G21" i="12"/>
  <c r="AA20" i="12"/>
  <c r="W20" i="12"/>
  <c r="K20" i="12"/>
  <c r="G20" i="12"/>
  <c r="AA19" i="12"/>
  <c r="W19" i="12"/>
  <c r="K19" i="12"/>
  <c r="G19" i="12"/>
  <c r="AA18" i="12"/>
  <c r="W18" i="12"/>
  <c r="K18" i="12"/>
  <c r="G18" i="12"/>
  <c r="AA17" i="12"/>
  <c r="W17" i="12"/>
  <c r="K17" i="12"/>
  <c r="G17" i="12"/>
  <c r="AA16" i="12"/>
  <c r="W16" i="12"/>
  <c r="K16" i="12"/>
  <c r="G16" i="12"/>
  <c r="AA15" i="12"/>
  <c r="W15" i="12"/>
  <c r="K15" i="12"/>
  <c r="G15" i="12"/>
  <c r="AA14" i="12"/>
  <c r="W14" i="12"/>
  <c r="K14" i="12"/>
  <c r="G14" i="12"/>
  <c r="AA13" i="12"/>
  <c r="W13" i="12"/>
  <c r="K13" i="12"/>
  <c r="G13" i="12"/>
  <c r="AA12" i="12"/>
  <c r="W12" i="12"/>
  <c r="K12" i="12"/>
  <c r="G12" i="12"/>
  <c r="AA11" i="12"/>
  <c r="W11" i="12"/>
  <c r="K11" i="12"/>
  <c r="G11" i="12"/>
  <c r="AA10" i="12"/>
  <c r="W10" i="12"/>
  <c r="K10" i="12"/>
  <c r="G10" i="12"/>
  <c r="AA9" i="12"/>
  <c r="W9" i="12"/>
  <c r="K9" i="12"/>
  <c r="G9" i="12"/>
  <c r="AA8" i="12"/>
  <c r="W8" i="12"/>
  <c r="K8" i="12"/>
  <c r="G8" i="12"/>
  <c r="AA7" i="12"/>
  <c r="W7" i="12"/>
  <c r="K7" i="12"/>
  <c r="G7" i="12"/>
  <c r="AA6" i="12"/>
  <c r="W6" i="12"/>
  <c r="K6" i="12"/>
  <c r="G6" i="12"/>
  <c r="AA5" i="12"/>
  <c r="W5" i="12"/>
  <c r="K5" i="12"/>
  <c r="G5" i="12"/>
  <c r="AA4" i="12"/>
  <c r="W4" i="12"/>
  <c r="K4" i="12"/>
  <c r="G4" i="12"/>
  <c r="AA3" i="12"/>
  <c r="W3" i="12"/>
  <c r="K3" i="12"/>
  <c r="G3" i="12"/>
  <c r="AA10" i="10"/>
  <c r="AA11" i="10"/>
  <c r="AA12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4" i="10"/>
  <c r="K82" i="10" l="1"/>
  <c r="AA9" i="10"/>
  <c r="AA8" i="10"/>
  <c r="AA7" i="10"/>
  <c r="AA6" i="10"/>
  <c r="AA5" i="10"/>
  <c r="AA4" i="10"/>
  <c r="AA37" i="10"/>
  <c r="AA36" i="10"/>
  <c r="AA35" i="10"/>
  <c r="AA34" i="10"/>
  <c r="AA33" i="10"/>
  <c r="AA32" i="10"/>
  <c r="AA59" i="10"/>
  <c r="K79" i="10"/>
  <c r="K77" i="10"/>
  <c r="K75" i="10"/>
  <c r="K73" i="10"/>
  <c r="K71" i="10"/>
  <c r="K69" i="10"/>
  <c r="K67" i="10"/>
  <c r="K64" i="10"/>
  <c r="K63" i="10"/>
  <c r="K62" i="10"/>
  <c r="K61" i="10"/>
  <c r="K60" i="10"/>
  <c r="K59" i="10"/>
  <c r="AA52" i="10"/>
  <c r="K52" i="10"/>
  <c r="AA50" i="10"/>
  <c r="K50" i="10"/>
  <c r="AA48" i="10"/>
  <c r="K48" i="10"/>
  <c r="AA46" i="10"/>
  <c r="K46" i="10"/>
  <c r="AA44" i="10"/>
  <c r="K44" i="10"/>
  <c r="AA42" i="10"/>
  <c r="K42" i="10"/>
  <c r="AA40" i="10"/>
  <c r="K40" i="10"/>
  <c r="K37" i="10"/>
  <c r="K36" i="10"/>
  <c r="K35" i="10"/>
  <c r="K34" i="10"/>
  <c r="K33" i="10"/>
  <c r="AA24" i="10"/>
  <c r="AA22" i="10"/>
  <c r="AA20" i="10"/>
  <c r="AA18" i="10"/>
  <c r="AA16" i="10"/>
  <c r="AA14" i="10"/>
  <c r="R69" i="15" l="1"/>
  <c r="R70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Rosmery Barroso</author>
  </authors>
  <commentList>
    <comment ref="L1" authorId="0" shapeId="0" xr:uid="{D165EF34-964E-4C67-A71F-C06D1364DA68}">
      <text>
        <r>
          <rPr>
            <b/>
            <sz val="9"/>
            <color indexed="81"/>
            <rFont val="Tahoma"/>
            <charset val="1"/>
          </rPr>
          <t>Rosmery Barroso:</t>
        </r>
        <r>
          <rPr>
            <sz val="9"/>
            <color indexed="81"/>
            <rFont val="Tahoma"/>
            <charset val="1"/>
          </rPr>
          <t xml:space="preserve">
MMNL_cont_sinInt_pool_VAPEAexc
</t>
        </r>
      </text>
    </comment>
    <comment ref="P1" authorId="0" shapeId="0" xr:uid="{7AFCFF91-CD52-43F8-BAEE-18773C6CDD5C}">
      <text>
        <r>
          <rPr>
            <b/>
            <sz val="9"/>
            <color indexed="81"/>
            <rFont val="Tahoma"/>
            <charset val="1"/>
          </rPr>
          <t>Rosmery Barroso:</t>
        </r>
        <r>
          <rPr>
            <sz val="9"/>
            <color indexed="81"/>
            <rFont val="Tahoma"/>
            <charset val="1"/>
          </rPr>
          <t xml:space="preserve">
MMNL_cont_sinInt_pool_VAPEAdual_estimates
</t>
        </r>
      </text>
    </comment>
    <comment ref="X29" authorId="0" shapeId="0" xr:uid="{474076AF-0B13-4033-AC77-3D2D670E8A66}">
      <text>
        <r>
          <rPr>
            <b/>
            <sz val="9"/>
            <color indexed="81"/>
            <rFont val="Tahoma"/>
            <family val="2"/>
          </rPr>
          <t>Rosmery Barroso:</t>
        </r>
        <r>
          <rPr>
            <sz val="9"/>
            <color indexed="81"/>
            <rFont val="Tahoma"/>
            <family val="2"/>
          </rPr>
          <t xml:space="preserve">
MMNL_WTP_price_continous_sinInt_col_VAPEAdual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Rosmery Barroso</author>
  </authors>
  <commentList>
    <comment ref="L4" authorId="0" shapeId="0" xr:uid="{6131C7DD-B80D-463B-AFF0-39A84651698D}">
      <text>
        <r>
          <rPr>
            <b/>
            <sz val="9"/>
            <color indexed="81"/>
            <rFont val="Tahoma"/>
            <charset val="1"/>
          </rPr>
          <t>Rosmery Barroso:</t>
        </r>
        <r>
          <rPr>
            <sz val="9"/>
            <color indexed="81"/>
            <rFont val="Tahoma"/>
            <charset val="1"/>
          </rPr>
          <t xml:space="preserve">
MMNL_WTP_price_continous_sinInt_arg_VAPEAexc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Rosmery Barroso</author>
  </authors>
  <commentList>
    <comment ref="P4" authorId="0" shapeId="0" xr:uid="{3EFAC0F7-708D-40C7-8882-B090AC6DFE1A}">
      <text>
        <r>
          <rPr>
            <b/>
            <sz val="9"/>
            <color indexed="81"/>
            <rFont val="Tahoma"/>
            <charset val="1"/>
          </rPr>
          <t>Rosmery Barroso:</t>
        </r>
        <r>
          <rPr>
            <sz val="9"/>
            <color indexed="81"/>
            <rFont val="Tahoma"/>
            <charset val="1"/>
          </rPr>
          <t xml:space="preserve">
MMNL_WTP_cont_sinInt_pool_VAPEA1825dual</t>
        </r>
      </text>
    </comment>
    <comment ref="P35" authorId="0" shapeId="0" xr:uid="{A3B6CB80-517E-4702-80A0-E31D6E191230}">
      <text>
        <r>
          <rPr>
            <b/>
            <sz val="9"/>
            <color indexed="81"/>
            <rFont val="Tahoma"/>
            <charset val="1"/>
          </rPr>
          <t>Rosmery Barroso:</t>
        </r>
        <r>
          <rPr>
            <sz val="9"/>
            <color indexed="81"/>
            <rFont val="Tahoma"/>
            <charset val="1"/>
          </rPr>
          <t xml:space="preserve">
MMNL_WTP_cont_sinInt_pool_VAPEA26dual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E0EAB4-FE96-42E4-98DB-1F3E6403390C}" odcFile="C:\Users\rosme\OneDrive\Documentos\Mis archivos de origen de datos\cubos3.sispro.gov.co SGD_CUBOS_RIPS CU - Prestación Servicios de Salud.odc" keepAlive="1" name="cubos3.sispro.gov.co SGD_CUBOS_RIPS CU - Prestación Servicios de Salud" type="5" refreshedVersion="8" background="1">
    <dbPr connection="Provider=MSOLAP.8;Persist Security Info=True;User ID=sispro\alzak;Initial Catalog=SGD_CUBOS_RIPS;Data Source=cubos3.sispro.gov.co;MDX Compatibility=1;Safety Options=2;MDX Missing Member Mode=Error;Update Isolation Level=2" command="CU - Prestación Servicios de Salud" commandType="1"/>
    <olapPr sendLocale="1" rowDrillCount="1000"/>
  </connection>
</connections>
</file>

<file path=xl/sharedStrings.xml><?xml version="1.0" encoding="utf-8"?>
<sst xmlns="http://schemas.openxmlformats.org/spreadsheetml/2006/main" count="1073" uniqueCount="285">
  <si>
    <t xml:space="preserve">Tabla 1 </t>
  </si>
  <si>
    <t>Tabla 2</t>
  </si>
  <si>
    <t>Convencionales</t>
  </si>
  <si>
    <t>No fumadores</t>
  </si>
  <si>
    <t>DCEe_03b_estimacionMMNL_WTP_sinInt</t>
  </si>
  <si>
    <t>Table 3</t>
  </si>
  <si>
    <t>WTP</t>
  </si>
  <si>
    <t>x pais</t>
  </si>
  <si>
    <t>Table 4</t>
  </si>
  <si>
    <t>Por edad</t>
  </si>
  <si>
    <t>Table 5</t>
  </si>
  <si>
    <t>por genero</t>
  </si>
  <si>
    <t>MMNL Design</t>
  </si>
  <si>
    <t>All smokers</t>
  </si>
  <si>
    <t>Conventional only</t>
  </si>
  <si>
    <t>Mainly E-cig- Exc</t>
  </si>
  <si>
    <t>Mainly E-cig- dual</t>
  </si>
  <si>
    <t>Non-smokers</t>
  </si>
  <si>
    <t>MNL_design_price_continous_col_all</t>
  </si>
  <si>
    <t>Panel A. Coefficients</t>
  </si>
  <si>
    <t>Parameter</t>
  </si>
  <si>
    <t>Estimate</t>
  </si>
  <si>
    <t>SE</t>
  </si>
  <si>
    <t>T-stat</t>
  </si>
  <si>
    <t>Std_Error_rob</t>
  </si>
  <si>
    <t>t_stat_rob</t>
  </si>
  <si>
    <t>ASC: disponsable e-cigartte</t>
  </si>
  <si>
    <t>asc_disp_mu</t>
  </si>
  <si>
    <t>asc_disp</t>
  </si>
  <si>
    <t>asc_disp_sig</t>
  </si>
  <si>
    <t>asc_rech</t>
  </si>
  <si>
    <t>ASC: re-usable e-cigarette</t>
  </si>
  <si>
    <t>asc_rech_mu</t>
  </si>
  <si>
    <t>asc_cig</t>
  </si>
  <si>
    <t>asc_rech_sig</t>
  </si>
  <si>
    <t>bprice</t>
  </si>
  <si>
    <t>ASC: conventional cigarette</t>
  </si>
  <si>
    <t>asc_cig_mu</t>
  </si>
  <si>
    <t>bext1</t>
  </si>
  <si>
    <t>asc_cig_sig</t>
  </si>
  <si>
    <t>bext2</t>
  </si>
  <si>
    <t>Price in cents USD per unit (1 cig / 10 puff)</t>
  </si>
  <si>
    <t>bprice_mu</t>
  </si>
  <si>
    <t>bext3</t>
  </si>
  <si>
    <t>bprice_sig</t>
  </si>
  <si>
    <t>bharm</t>
  </si>
  <si>
    <t>Secondhand smoke: mildly harmful</t>
  </si>
  <si>
    <t>bext1_mu</t>
  </si>
  <si>
    <t>bhide</t>
  </si>
  <si>
    <t>bext1_sig</t>
  </si>
  <si>
    <t>bFlavor1</t>
  </si>
  <si>
    <t>Secondhand smoke: vey harmful</t>
  </si>
  <si>
    <t>bext2_mu</t>
  </si>
  <si>
    <t>bFlavor2</t>
  </si>
  <si>
    <t>bext2_sig</t>
  </si>
  <si>
    <t>Secondhand smoke: unknown harmful</t>
  </si>
  <si>
    <t>bext3_mu</t>
  </si>
  <si>
    <t>bext3_sig</t>
  </si>
  <si>
    <t>Harm: as harmful as conventional cigarette (1) vs less harmful (0)</t>
  </si>
  <si>
    <t>bharm_mu</t>
  </si>
  <si>
    <t>bharm_sig</t>
  </si>
  <si>
    <t>Hide: difficult to hide (smoke and odor)=1 vs easy to hide (no smoke, no odor)</t>
  </si>
  <si>
    <t>bhide_mu</t>
  </si>
  <si>
    <t>bhide_sig</t>
  </si>
  <si>
    <t>Flavor: menthol</t>
  </si>
  <si>
    <t>bFlavor1_mu</t>
  </si>
  <si>
    <t>bFlavor1_sig</t>
  </si>
  <si>
    <t>Flavor: Furit or Candy</t>
  </si>
  <si>
    <t>bFlavor2_mu</t>
  </si>
  <si>
    <t>bFlavor2_sig</t>
  </si>
  <si>
    <t>Argentina vs Col</t>
  </si>
  <si>
    <t>mu_arg</t>
  </si>
  <si>
    <t>Chile vs Col</t>
  </si>
  <si>
    <t>mu_chi</t>
  </si>
  <si>
    <t>Panel B. Willingness-to-pay</t>
  </si>
  <si>
    <t>wtp_asc_disp_mu</t>
  </si>
  <si>
    <t>wtp_asc_disp_sig</t>
  </si>
  <si>
    <t>wtp_asc_rech_mu</t>
  </si>
  <si>
    <t>wtp_asc_rech_sig</t>
  </si>
  <si>
    <t>wtp_asc_cig_mu</t>
  </si>
  <si>
    <t>wtp_asc_cig_sig</t>
  </si>
  <si>
    <t>lambda_mu</t>
  </si>
  <si>
    <t>lambda_sig</t>
  </si>
  <si>
    <t>wtp_ext1_mu</t>
  </si>
  <si>
    <t>wtp_ext1_sig</t>
  </si>
  <si>
    <t>wtp_ext2_mu</t>
  </si>
  <si>
    <t>wtp_ext2_sig</t>
  </si>
  <si>
    <t>wtp_ext3_mu</t>
  </si>
  <si>
    <t>wtp_ext3_sig</t>
  </si>
  <si>
    <t>wtp_harm_mu</t>
  </si>
  <si>
    <t>wtp_harm_sig</t>
  </si>
  <si>
    <t>wtp_hide_mu</t>
  </si>
  <si>
    <t>wtp_hide_sig</t>
  </si>
  <si>
    <t>Coventional vs disposable e-cig</t>
  </si>
  <si>
    <t>Coventional vs rechargable e-cig</t>
  </si>
  <si>
    <t>Disposable vs rechargable e-cig</t>
  </si>
  <si>
    <t>Extract of the main table to be used for constructing the main graphs</t>
  </si>
  <si>
    <t>Mu</t>
  </si>
  <si>
    <t xml:space="preserve">Mu </t>
  </si>
  <si>
    <t>sigma</t>
  </si>
  <si>
    <t>Graph</t>
  </si>
  <si>
    <t>Category</t>
  </si>
  <si>
    <t>Traditional smokers</t>
  </si>
  <si>
    <t>ENDS users- exc</t>
  </si>
  <si>
    <t xml:space="preserve">ENDS users- dual </t>
  </si>
  <si>
    <t>For R code</t>
  </si>
  <si>
    <t>Disp e-cigartte</t>
  </si>
  <si>
    <t>Rech e-cigarette</t>
  </si>
  <si>
    <t>Conventional cigarette</t>
  </si>
  <si>
    <t>Mildly harmful</t>
  </si>
  <si>
    <t>Very harmful</t>
  </si>
  <si>
    <t>Unknown harmful</t>
  </si>
  <si>
    <t>Menthol</t>
  </si>
  <si>
    <t>Fruit or Candy</t>
  </si>
  <si>
    <t>con vs disp</t>
  </si>
  <si>
    <t>con vs rech</t>
  </si>
  <si>
    <t>disp vs rech</t>
  </si>
  <si>
    <t>Mainly E-cig-dual</t>
  </si>
  <si>
    <t>Panel A. Willingness-to-pay for Argentina</t>
  </si>
  <si>
    <t>bext1_WTP</t>
  </si>
  <si>
    <t>bext2_WTP</t>
  </si>
  <si>
    <t>bext3_WTP</t>
  </si>
  <si>
    <t>bharm_WTP</t>
  </si>
  <si>
    <t>bhide_WTP</t>
  </si>
  <si>
    <t>bFlavor1_WTP</t>
  </si>
  <si>
    <t>bFlavor2_WTP</t>
  </si>
  <si>
    <t>Panel B. Willingness-to-pay for Chile</t>
  </si>
  <si>
    <t>Panel C. Willingness-to-pay for Colombia</t>
  </si>
  <si>
    <t>Argentina. Extract of the main table to be used for constructing the main graphs</t>
  </si>
  <si>
    <t>Argentina</t>
  </si>
  <si>
    <t xml:space="preserve">SE </t>
  </si>
  <si>
    <t>Chile. Extract of the main table to be used for constructing the main graphs</t>
  </si>
  <si>
    <t>Chile</t>
  </si>
  <si>
    <t>Colombia. Extract of the main table to be used for constructing the main graphs</t>
  </si>
  <si>
    <t>Colombia</t>
  </si>
  <si>
    <t>0, 0, 0, 0, 0, 0, 0, 0, 0, 0</t>
  </si>
  <si>
    <t>Mainly E-cig-Exc</t>
  </si>
  <si>
    <t>Panel A. Willingness-to-pay for respondents 18-25</t>
  </si>
  <si>
    <t>wtp_flavour1_mu</t>
  </si>
  <si>
    <t>wtp_flavour1_sig</t>
  </si>
  <si>
    <t>wtp_flavour2_mu</t>
  </si>
  <si>
    <t>wtp_flavour2_sig</t>
  </si>
  <si>
    <t>Diff Conventional vs Disposable</t>
  </si>
  <si>
    <t>Diff Conventional vs Rechargable</t>
  </si>
  <si>
    <t>Diff Disposable vs Rechargable</t>
  </si>
  <si>
    <t>Panel B. Willingness-to-pay for respondents 26-64</t>
  </si>
  <si>
    <t>18-25</t>
  </si>
  <si>
    <t>26-64</t>
  </si>
  <si>
    <t>Panel A. Willingness-to-pay for respondents Woman</t>
  </si>
  <si>
    <t xml:space="preserve"> </t>
  </si>
  <si>
    <t>Panel B. Willingness-to-pay for respondents Man</t>
  </si>
  <si>
    <t>Woman</t>
  </si>
  <si>
    <t>Man</t>
  </si>
  <si>
    <t>ENDS users- dual</t>
  </si>
  <si>
    <t xml:space="preserve">  </t>
  </si>
  <si>
    <t>Std.err.</t>
  </si>
  <si>
    <t>t-ratio(0)</t>
  </si>
  <si>
    <t>Rob.std.err.</t>
  </si>
  <si>
    <t>Rob.t-ratio(0)</t>
  </si>
  <si>
    <t>0.0630967446655414</t>
  </si>
  <si>
    <t>0.059815310575146</t>
  </si>
  <si>
    <t>0.096261943436644</t>
  </si>
  <si>
    <t>-0.936091266713084</t>
  </si>
  <si>
    <t>0.0838982736987974</t>
  </si>
  <si>
    <t>-0.152796154103513</t>
  </si>
  <si>
    <t>0.0321193721757675</t>
  </si>
  <si>
    <t>-0.428196064070433</t>
  </si>
  <si>
    <t>0.0336660128119722</t>
  </si>
  <si>
    <t>-0.27110935463226</t>
  </si>
  <si>
    <t>0.0288713815485944</t>
  </si>
  <si>
    <t>-0.244044836153764</t>
  </si>
  <si>
    <t>0.0213578375152452</t>
  </si>
  <si>
    <t>-0.0517999677830693</t>
  </si>
  <si>
    <t>0.0215189572702189</t>
  </si>
  <si>
    <t>0.0285372157261743</t>
  </si>
  <si>
    <t>0.0244399587771588</t>
  </si>
  <si>
    <t>-1.30507349068794, 1.15222012265485, -60.770268680429, 6.02096269581683, 10.0033085387899, 5.27296732500865, 3.86959715744321, -2.09765899368286, 1.31040454672406, 1.38662038020367</t>
  </si>
  <si>
    <t>-11.54754424, -15.9220313, -27.58011137, 2.496966774, 4.844068366, 3.44281957, 1.665807164, 0.655185912, -1.439652773, -1.483074147</t>
  </si>
  <si>
    <t>-25.5195012826271, -24.3583458154396, -27.145653934857, 8.86326835723848, 18.54424163944, 9.56958466465121, 8.90880992781598, 3.35250775365601, -3.03644128648984, -4.56158512355649</t>
  </si>
  <si>
    <t>32.5454554451595, 38.4792309889783, 41.5881257319651, 12.1986751943424, 0.83918031166136, 0.326878483148695, 12.8700023244148, 9.91361526772021, 10.8701370224078, 16.040761560976</t>
  </si>
  <si>
    <t>16.0166552, 16.48122946, 9.991579787, 4.801262791, 6.628886867, 3.758090238, 4.045444701, 6.010259382, 6.171127569, 7.083986863</t>
  </si>
  <si>
    <t>56.7740380276955, 73.1135463544013, 68.2808387849418, 0.984595209563811, 10.2418308488219, 4.11470439010417, 8.18068935839198, 4.98798287481051, 3.31878968714572, 8.54679735764203</t>
  </si>
  <si>
    <t>-3.617225193, -0.809490124, -33.786318, 4.391613358, 3.477211135, 2.447795254, 3.291470927, 1.328785613, -0.369629456, -0.306231903</t>
  </si>
  <si>
    <t>-13.28371051, -18.97564288, -25.52885147, 0.884833073, 5.184772185, 3.537069363, 3.305356623, 0.469431705, -0.976071162, -1.194371593</t>
  </si>
  <si>
    <t>0, -11.5663224179831, 19.1399940224049, 15.7598914585253, 30.8303549890679, 18.0563101279001, 11.3101595389471, 2.17066122770207, -0.702372809391305, -0.026723911839145</t>
  </si>
  <si>
    <t>16.11840768, 20.76691521, 26.11550101, 3.324615456, 4.831549499, 0.436654755, 3.959315776, 4.099980556, 0.678444789, 3.201015869</t>
  </si>
  <si>
    <t>12.63742724, 13.49057024, 12.12077718, 3.066726265, 5.896855427, 3.389267433, 2.778244129, 3.391751286, 1.836565877, 2.848869034</t>
  </si>
  <si>
    <t>61.5930018627564, 75.4391640981209, 75.3402405015993, 2.16522502666567, 25.0992616462102, 7.82694590278409, 18.761701759568, 12.2964791227828, 2.12166827802525, 3.51280786461976</t>
  </si>
  <si>
    <t>-2.83631836785569, -4.84623134993358, -53.5809915048513, 8.17973097555775, 5.04077362777475, 7.48317041114218, 6.80270211140984, 3.34633899604276, -4.90297539631969, -6.37739296088657</t>
  </si>
  <si>
    <t>-12.5012557973442, -17.0684498700316, -24.8120638899591, 2.14806155693281, 5.30827850743552, 3.04775612657962, 2.36261747358854, 0.910475766219179, -2.23787958228793, -3.16792859410573</t>
  </si>
  <si>
    <t>-133.8667119013, -218.73542370011, -214.505823439937, 94.1642574528108, 202.680268776106, 118.466221859844, 82.5305260161626, 29.937551246774, -26.2229799186889, -30.9381605218344</t>
  </si>
  <si>
    <t>31.9494526044633, 39.1395492482246, 6.72807888775618, 8.24847173073698, 20.6206631404919, 1.24749989701914, 5.29994187618539, 8.28212716958583, 8.31502350750528, 14.1752475423254</t>
  </si>
  <si>
    <t>10.9906201814394, 15.0649583161934, 17.2070888346077, 2.31804946849664, 5.25915214119849, 5.07251592467723, 4.37340419891204, 1.92468420858895, 3.90357666518307, 5.90964657145391</t>
  </si>
  <si>
    <t>505.746825478801, 536.040702543446, 353.861430769048, 34.3853583176414, 189.775092821832, 51.2514710634966, 133.048592833053, 87.0139136836164, 5.51165342220257, 66.7613715844439</t>
  </si>
  <si>
    <t>0.833080820338568, 1.23045390217445, -60.9899288118643, 5.5552796299941, 8.15498673450817, 5.87247998885165, 4.24616012624708, 0.968410753395007, -0.453206920633832, 1.03381566558055</t>
  </si>
  <si>
    <t>-13.339344799724, -21.4804182544794, -31.6594075324595, 1.31271781335572, 6.46238974004104, 3.60366424486923, 2.58899363251558, -0.00826206448537856, -1.1820179149674, -0.630639849907843</t>
  </si>
  <si>
    <t>24.8673985489675, 33.8981947342006, 43.2035124251572, 1.87852532636001, 4.64606177780999, 1.59123462293247, 2.93779927837355, 1.27741587475768, 6.94122497987244, 9.9506296464923</t>
  </si>
  <si>
    <t>12.7358943843933, 14.1760381822975, 17.482251810278, 2.1604820758066, 2.92564171466833, 1.91591432121154, 2.82986184321243, 4.67919293174091, 3.63836743861924, 3.6164821387741</t>
  </si>
  <si>
    <t>-1.63621933881482, 0.201112794160145, -51.2354557072981, 5.10195954226569, 5.04793872369401, 8.11211392822827, 5.3111631621081, 1.62004867682029, -2.22699718667793, -3.72490424503987</t>
  </si>
  <si>
    <t>-5.72112437140787, -112.759504852602, -62.5489293944557, 91.1004677352855, 106.366256514559, 61.7641747043443, 83.8352391967172, 13.5677645503309, -36.8310880597152, -47.7092746336127</t>
  </si>
  <si>
    <t>-15.569727286472, -19.8193423535096, -29.1563299809484, 1.86597726592342, 6.75670115835047, 4.18032024499957, 2.76960628915135, 0.280535736892019, -2.75665100862314, -3.60259676531122</t>
  </si>
  <si>
    <t>-23.6827625092707, -13.036620940828, -20.1482425204886, 11.439029418883, 22.752698472719, 13.4297124304578, 12.1512014309941, 3.52588942363419, -0.918401408051904, -2.7674651979327</t>
  </si>
  <si>
    <t>25.6662900955718, 32.1114247803222, 29.5657708752447, 0.439538148585911, 15.0472230531794, 7.26328800965141, 8.2883704384404, 4.35121641563995, 7.89437181278707, 13.9227450175114</t>
  </si>
  <si>
    <t>571.557036733997, 515.93246500579, 174.349694864856, 105.092857096801, 82.630412850785, 111.148098858729, 216.735037923669, 165.156830357689, 68.184242368517, 108.355555489386</t>
  </si>
  <si>
    <t>13.9160919336623, 17.4753691086243, 17.9489378869081, 3.27160278549954, 6.63755413369829, 4.12500655821291, 3.91174295278879, 4.16268827717671, 5.12276596718106, 6.20663020628406</t>
  </si>
  <si>
    <t>61.0864763246526, 61.4176105563889, 58.7843138681327, 3.95539313773596, 20.1813949021277, 4.31862345513638, 9.24203795005922, 9.88941581300941, 0.169363105147247, 4.73604596691766</t>
  </si>
  <si>
    <t>0.817701293432273, 3.48743780172377, -40.0771913007657, 3.9015872782579, 3.04804504552067, 2.68745759482563, 3.43796788129112, 0.185850077824601, 0.506609880001672, 1.68421733774178</t>
  </si>
  <si>
    <t>-9.01603772016449, -41.8398252263308, 19.0785680691457, 13.5286453065906, 19.0247401494434, 19.5882319118198, 8.97110940575083, 1.1519375144815, -13.0313586984379, -11.5961693904989</t>
  </si>
  <si>
    <t>-15.5978523157066, -22.2559680307466, -31.2181844944673, 2.01318276578361, 6.15595184052617, 3.44073776384959, 1.83159574396495, 0.471365953902738, 0.23228395685873, -0.152595646014436</t>
  </si>
  <si>
    <t>-6.04289287989278, -11.9208033032332, -9.9401579662895, 6.3081832241518, 11.9235598821405, 7.22861281106792, 5.34912792732776, 0.21143072069369, -0.588151665586225, -1.72417635119485</t>
  </si>
  <si>
    <t>19.8804485414873, 0.273229874150826, 0.177537767865269, 0.0781261789508332, 0.0860841783562123, 0.0720729433800067, 0.0526375277716161, 0.0672442877556708, 0.0440021515260331, 0.0560472614421842</t>
  </si>
  <si>
    <t>174.349694864856, 91.1004677352855, 105.092857096801, 111.148098858729, 216.735037923669, 165.156830357689, 68.184242368517, 108.355555489386, 2.65251337684014, 50.2105754581464</t>
  </si>
  <si>
    <t>17.9489378869081, 1.86597726592342, 3.27160278549954, 4.12500655821291, 3.91174295278879, 4.16268827717671, 5.12276596718106, 6.20663020628406, 13.0257673182346, 9.3369876274388</t>
  </si>
  <si>
    <t>58.7843138681327, 11.439029418883, 3.95539313773596, 4.31862345513638, 9.24203795005922, 9.88941581300941, 0.169363105147247, 4.73604596691766, 16.3842630494361, 7.11162157966053</t>
  </si>
  <si>
    <t>MNL</t>
  </si>
  <si>
    <t>-2.21416018269281, -1.93101175659427, -52.4393678492486, 5.09166421289972, 7.31678277190131, 6.32425861315136, 4.1785042537316, 1.63413152016895, -1.24228262939237, -1.39122572536977</t>
  </si>
  <si>
    <t>-14.7565583670997, -30.1119626140651, 11.859608884327, 10.5579603092028, 27.0802545413507, 14.3692049475345, 12.7673462529246, 6.62776108425056, -16.1441076876081, -15.8559079145181</t>
  </si>
  <si>
    <t>-14.3155150198791, -18.5683748225732, -29.9070667538523, 1.91298495040015, 5.40930582135414, 3.69016093664655, 2.387361447559, 0.57937963000969, -1.78174908307434, -1.96287163133353</t>
  </si>
  <si>
    <t>23.0444271608789, 29.6605998284962, 34.7402689541308, 1.56855190647368, 7.31308653146375, 4.85939786325636, 6.72944929579997, 4.1890801056837, 7.17982072169283, 10.3366397779083</t>
  </si>
  <si>
    <t>50.4653458714319, 59.724832265252, 51.6014723919881, 10.4741062109106, 21.7585080085848, 8.92779021791301, 14.3522685584521, 19.8039417595667, 14.1276521772499, 23.3217632015656</t>
  </si>
  <si>
    <t>12.2341981686045, 18.7312480726558, 11.8187357576732, 2.80796233194299, 7.31878292962496, 4.78004022314571, 4.88011830725787, 4.32444145296608, 4.66808944478714, 5.70632247010692</t>
  </si>
  <si>
    <t>-16.245702547412, -20.7786974352, -15.8937595637786, 8.93686462197647, 18.4721799455626, 10.7283549941983, 8.87130342728393, 2.40664571281262, -1.45225888743049, -1.91337228286339</t>
  </si>
  <si>
    <t>0.117443239722798, 0.159656662699448, 0.145385808785485, 0.075555652105237, 0.143502435643149, 0.0869729124739526, 0.0720216458849213, 0.028270588008383, 0.024946020442569, 0.0276778641441582</t>
  </si>
  <si>
    <t>51.1386322613014, 52.9553887419129, 56.8897003842642, 2.19738606910488, 9.03210273669832, 3.39593726701181, 8.79824624295794, 4.84582677421897, 0.500666198372485, 5.32769235123145</t>
  </si>
  <si>
    <t>1.84380586115076, 2.24121285991284, 12.0657333218759, 1.81659150058783, 2.24497193944836, 1.77637077741722, 1.433354939246, 1.30382372124325, 1.19819843110629, 1.10252189295479</t>
  </si>
  <si>
    <t>1.96603706, 2.7067904, 4.35574264, 0.94383006, 1.1320615, 0.97800942, 0.72946702, 0.75231458, 0.71567642, 0.66195454</t>
  </si>
  <si>
    <t>8.45713493259672, 8.45613761566949, 9.01884569579473, 3.3052407299601, 6.23579663880258, 3.51016771219669, 3.22501114787454, 1.52711437333322, 1.57317753137132, 1.91649539281386</t>
  </si>
  <si>
    <t>1.39523276, 1.18076934, 4.34678924, 0.95742858, 0.9163409, 0.8309766, 0.81830724, 0.64898238, 0.57729702, 0.58842808</t>
  </si>
  <si>
    <t>1.87101226, 2.66789204, 3.62120346, 0.60295882, 0.95386916, 0.74073612, 0.667599, 0.51708284, 0.46963608, 0.4977738</t>
  </si>
  <si>
    <t>7.25845118104039, 4.78488049933669, 11.2869175024665, 6.87477719310005, 12.9494656552325, 7.6908565402424, 4.64731600003973, 1.26095570494626, 1.35109314127177, 1.24217686479232</t>
  </si>
  <si>
    <t>0.945680716301378, 1.04882496321905, 5.6564635288139, 0.857896587126416, 1.02589209401013, 1.02582404579032, 0.733948699033728, 0.569478145768229, 0.523986787831049, 0.541058231377278</t>
  </si>
  <si>
    <t>12.1699616644734, 27.2872869212544, 19.3749630801988, 10.1925315054448, 25.4435599119792, 13.3269486506143, 12.0905943541706, 6.52138815041798, 15.3416992203905, 14.8026994317236</t>
  </si>
  <si>
    <t>1.31142241411304, 1.79314446013229, 2.73255378429375, 0.49019655869079, 0.656845667330514, 0.548444147197967, 0.404892807954591, 0.379089191363016, 0.35725352391341, 0.395960556265605</t>
  </si>
  <si>
    <t>2.34886479445596, 3.19313325398897, 2.9077161757097, 1.51111304210474, 2.87004871286299, 1.73945824947905, 1.44043291769843, 0.56541176016766, 0.498920408851379, 0.553557282883165</t>
  </si>
  <si>
    <t>1.46172799585231, 1.67189327192605, 8.35443564518571, 1.22942983017003, 1.36182377573755, 1.75123393153641, 1.26612794358377, 0.848389404359911, 0.861321763329433, 1.03841512445317</t>
  </si>
  <si>
    <t>47.8612127129246, 1226.15066204209, 680.053005528499, 1007.35337132231, 1170.66019334116, 682.647973295972, 913.326987852354, 156.101348799612, 404.771817971603, 531.817093666029</t>
  </si>
  <si>
    <t>4.67809039407452, 2.93735612737024, 5.05947325585399, 2.55579976906906, 4.91741558177562, 2.86833166262292, 2.60652260323795, 1.0218557508076, 0.701592260242127, 0.918808898363428</t>
  </si>
  <si>
    <t>1.54226375138049, 2.12008459269544, 6.02307505460644, 1.30755289889703, 1.27678221171989, 0.997168462665802, 1.00215706759528, 0.994981253007309, 0.648235584359715, 0.678137021469096</t>
  </si>
  <si>
    <t>18.0491417940193, 90.8803939995425, 54.3935521452861, 30.3577325229118, 44.2370829717168, 43.7912599201061, 21.4972001689338, 8.66162777691384, 30.7385004705361, 27.8031317896665</t>
  </si>
  <si>
    <t>2.24955473016609, 3.19210695254647, 4.42138972803285, 0.720315475167265, 1.00717240979833, 0.770176295744426, 0.554273403905518, 0.598328682391493, 0.557770844621621, 0.491730986259459</t>
  </si>
  <si>
    <t>1.07181559341733, 1.72112513928031, 2.63732583253017, 1.0242483773178, 1.81611385293178, 0.887929188599839, 0.942977320295842, 0.425375869579526, 0.474135814642633, 0.587198538607292</t>
  </si>
  <si>
    <t>2.46502325309157, 3.03221752387526, 16.1240499074398, 3.23104833473865, 2.34647383554611, 2.81137144681957, 2.42840561751058, 1.79123443354065, 2.04090685052517, 2.47392670784281</t>
  </si>
  <si>
    <t>1.76311738491071, 2.4624593375746, 3.49373991302488, 0.737039557336983, 0.91942709399126, 0.736715896011215, 0.607426296249808, 0.52292019694157, 0.581403919153044, 0.704761529537073</t>
  </si>
  <si>
    <t>1.61292441100919, 1.51667299796955, 7.96578551213706, 1.1230878736886, 1.29165677881659, 1.14225576806906, 0.847802069910663, 0.660398273042998, 0.628903548742395, 0.64966097297604</t>
  </si>
  <si>
    <t>1.45350265178457, 2.37606140976942, 3.45354172645363, 0.506709090832778, 0.860227776475932, 0.576176932848895, 0.477127887665991, 0.450099777991671, 0.416588092660361, 0.398598769198587</t>
  </si>
  <si>
    <t>-6.20765364857449, 0.567214597784417, -73.4322546281721, 7.63761814859436, 10.8631743917415, 9.03413036787825, 5.16740772771099, 3.20778867584877, -4.0783384657676, -6.37839265466004</t>
  </si>
  <si>
    <t>-1.72297016818677, -25.2876105897473, -45.5153058546916, 0.517366743487441, 8.75828570922289, 3.7739817696368, 2.63444064500071, 1.757383739721, -2.37273370184668, -4.33208391632894</t>
  </si>
  <si>
    <t>-18.4998648784236, -18.5802998186713, -18.6166834119474, 10.4085594767467, 21.4269425865648, 14.204050977926, 10.6433167437223, 1.91205641399728, -2.12373014493017, -7.31403882184822</t>
  </si>
  <si>
    <t>-8.7411389478534, -18.5802998186713, -18.6166834119474, 10.4085594767467, 21.4269425865648, 14.204050977926, 10.6433167437223, 1.91205641399728, -2.12373014493017, -7.31403882184822</t>
  </si>
  <si>
    <t>1.99789003349162, 2.39888820049393, 17.3453442265247, 2.26363264570117, 2.92641514476127, 2.70398454715527, 1.41656825907124, 1.11740450667492, 1.37973730181284, 1.84265890470183</t>
  </si>
  <si>
    <t>4.20393293005887, 6.0318339444231, 10.5678657353898, 1.31591580465827, 2.47524286401339, 1.50400645431824, 1.29013698786915, 1.00445261161957, 1.06220075547698, 1.36346412778449</t>
  </si>
  <si>
    <t>2.85749299782893, 5.90926641945614, 6.56408408294261, 3.67607639307526, 6.8814568701088, 4.60014691950737, 3.45764276172576, 1.13035082957174, 1.23606189307253, 2.53623965148625</t>
  </si>
  <si>
    <t>34.6290891933222, 41.1099345831828, 50.3480978908661, 4.45363998688282, 11.3151734243233, 2.62426418997665, 3.60283154731751, 1.13537469661696, 5.86527159688986, 12.1608551766672</t>
  </si>
  <si>
    <t>17.8856051196288, 45.5153058546916, 1.50479496107634, 4.94333559501957, 11.7873282803851, 8.4842132365538, 9.6220783227727, 0.0931603703862613, 4.58777641112053, 7.64231658896217</t>
  </si>
  <si>
    <t>55.0556667156125, 18.6166834119474, 39.5118285175578, 3.04601715799283, 22.9616934923045, 10.9328454704717, 16.1517897234066, 5.1605320364554, 4.50279741898756, 11.8557811501254</t>
  </si>
  <si>
    <t>MNL base</t>
  </si>
  <si>
    <t>No hay población Non-smokers 26-64</t>
  </si>
  <si>
    <t xml:space="preserve">No corrió </t>
  </si>
  <si>
    <t>No corrió</t>
  </si>
  <si>
    <t xml:space="preserve">WTP Mixed logit - desing </t>
  </si>
  <si>
    <t>Vapeadores duales</t>
  </si>
  <si>
    <t>DCEe_03b_estimacionMMNL_WTP_sinInt_pool</t>
  </si>
  <si>
    <t>DCEe_03b_estimacionMMNL_WTP_sinInt_pool_gender</t>
  </si>
  <si>
    <t>Vapeadores exclusivos</t>
  </si>
  <si>
    <t>All</t>
  </si>
  <si>
    <t>bflavour1_mu</t>
  </si>
  <si>
    <t>bflavour1_sig</t>
  </si>
  <si>
    <t>bflavour2_mu</t>
  </si>
  <si>
    <t>bflavour2_sig</t>
  </si>
  <si>
    <t>RLH overall</t>
  </si>
  <si>
    <t>RLH random benchmark</t>
  </si>
  <si>
    <t>RLH p5</t>
  </si>
  <si>
    <t>RLH p25</t>
  </si>
  <si>
    <t>RLH median</t>
  </si>
  <si>
    <t>RLH p75</t>
  </si>
  <si>
    <t>RLH p95</t>
  </si>
  <si>
    <t>Price</t>
  </si>
  <si>
    <t>180 or more</t>
  </si>
  <si>
    <t>90 or more</t>
  </si>
  <si>
    <t>60 or more</t>
  </si>
  <si>
    <t>150 or more</t>
  </si>
  <si>
    <t>120 or more</t>
  </si>
  <si>
    <t>210 or more</t>
  </si>
  <si>
    <t>240 or more</t>
  </si>
  <si>
    <t>270 or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</si>
</sst>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00000000"/>
  </numFmts>
  <fonts count="1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Times New Roman"/>
      <family val="1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</cellStyleXfs>
  <cellXfs count="56">
    <xf numFmtId="0" fontId="0" fillId="0" borderId="0" xfId="0"/>
    <xf numFmtId="0" fontId="5" fillId="0" borderId="0" xfId="0" applyFont="1"/>
    <xf numFmtId="164" fontId="0" fillId="0" borderId="0" xfId="0" applyNumberFormat="1"/>
    <xf numFmtId="0" fontId="6" fillId="0" borderId="0" xfId="0" applyFont="1" applyAlignment="1">
      <alignment vertical="center"/>
    </xf>
    <xf numFmtId="0" fontId="7" fillId="0" borderId="0" xfId="0" applyFont="1"/>
    <xf numFmtId="0" fontId="0" fillId="0" borderId="1" xfId="0" applyBorder="1"/>
    <xf numFmtId="0" fontId="0" fillId="0" borderId="4" xfId="0" applyBorder="1"/>
    <xf numFmtId="165" fontId="0" fillId="0" borderId="0" xfId="1" applyNumberFormat="1" applyFont="1" applyBorder="1"/>
    <xf numFmtId="0" fontId="0" fillId="0" borderId="6" xfId="0" applyBorder="1"/>
    <xf numFmtId="0" fontId="0" fillId="0" borderId="7" xfId="0" applyBorder="1"/>
    <xf numFmtId="0" fontId="0" fillId="2" borderId="0" xfId="0" applyFill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166" fontId="0" fillId="0" borderId="0" xfId="0" applyNumberFormat="1"/>
    <xf numFmtId="166" fontId="0" fillId="0" borderId="7" xfId="0" applyNumberFormat="1" applyBorder="1"/>
    <xf numFmtId="0" fontId="0" fillId="0" borderId="8" xfId="0" applyBorder="1"/>
    <xf numFmtId="0" fontId="7" fillId="2" borderId="0" xfId="0" applyFont="1" applyFill="1"/>
    <xf numFmtId="0" fontId="5" fillId="2" borderId="0" xfId="0" applyFont="1" applyFill="1"/>
    <xf numFmtId="2" fontId="0" fillId="0" borderId="0" xfId="0" applyNumberFormat="1"/>
    <xf numFmtId="164" fontId="7" fillId="0" borderId="0" xfId="0" applyNumberFormat="1" applyFont="1"/>
    <xf numFmtId="0" fontId="0" fillId="3" borderId="0" xfId="0" applyFill="1"/>
    <xf numFmtId="0" fontId="0" fillId="4" borderId="0" xfId="0" applyFill="1"/>
    <xf numFmtId="0" fontId="6" fillId="0" borderId="4" xfId="0" applyFont="1" applyBorder="1" applyAlignment="1">
      <alignment vertical="center"/>
    </xf>
    <xf numFmtId="0" fontId="8" fillId="0" borderId="0" xfId="0" applyFont="1"/>
    <xf numFmtId="0" fontId="0" fillId="5" borderId="0" xfId="0" applyFill="1"/>
    <xf numFmtId="0" fontId="0" fillId="6" borderId="0" xfId="0" applyFill="1"/>
    <xf numFmtId="166" fontId="0" fillId="0" borderId="5" xfId="0" applyNumberFormat="1" applyBorder="1"/>
    <xf numFmtId="0" fontId="0" fillId="8" borderId="0" xfId="0" applyFill="1"/>
    <xf numFmtId="0" fontId="4" fillId="0" borderId="0" xfId="2"/>
    <xf numFmtId="0" fontId="4" fillId="8" borderId="0" xfId="2" applyFill="1"/>
    <xf numFmtId="0" fontId="3" fillId="0" borderId="0" xfId="3"/>
    <xf numFmtId="0" fontId="3" fillId="3" borderId="0" xfId="3" applyFill="1"/>
    <xf numFmtId="0" fontId="3" fillId="7" borderId="0" xfId="3" applyFill="1"/>
    <xf numFmtId="0" fontId="2" fillId="0" borderId="0" xfId="4"/>
    <xf numFmtId="0" fontId="7" fillId="0" borderId="4" xfId="0" applyFont="1" applyBorder="1"/>
    <xf numFmtId="0" fontId="0" fillId="8" borderId="0" xfId="0" applyFill="1" applyAlignment="1">
      <alignment horizontal="right" wrapText="1"/>
    </xf>
    <xf numFmtId="0" fontId="0" fillId="0" borderId="0" xfId="0" applyAlignment="1">
      <alignment horizontal="right" wrapText="1"/>
    </xf>
    <xf numFmtId="3" fontId="0" fillId="0" borderId="0" xfId="0" applyNumberFormat="1"/>
    <xf numFmtId="0" fontId="0" fillId="7" borderId="0" xfId="0" applyFill="1"/>
    <xf numFmtId="0" fontId="0" fillId="7" borderId="5" xfId="0" applyFill="1" applyBorder="1"/>
    <xf numFmtId="0" fontId="0" fillId="0" borderId="0" xfId="0" applyAlignment="1">
      <alignment wrapText="1"/>
    </xf>
    <xf numFmtId="167" fontId="0" fillId="0" borderId="0" xfId="0" applyNumberFormat="1"/>
    <xf numFmtId="0" fontId="14" fillId="5" borderId="0" xfId="0" applyFont="1" applyFill="1"/>
    <xf numFmtId="0" fontId="0" fillId="9" borderId="0" xfId="0" applyFill="1"/>
    <xf numFmtId="0" fontId="0" fillId="9" borderId="5" xfId="0" applyFill="1" applyBorder="1"/>
    <xf numFmtId="0" fontId="7" fillId="6" borderId="0" xfId="0" applyFont="1" applyFill="1"/>
    <xf numFmtId="0" fontId="0" fillId="6" borderId="5" xfId="0" applyFill="1" applyBorder="1"/>
    <xf numFmtId="0" fontId="13" fillId="0" borderId="0" xfId="0" applyFont="1"/>
    <xf numFmtId="0" fontId="1" fillId="0" borderId="0" xfId="3" applyFont="1"/>
    <xf numFmtId="0" fontId="15" fillId="0" borderId="0" xfId="0" applyFont="1"/>
    <xf numFmtId="0" fontId="16" fillId="0" borderId="0" xfId="0" applyFont="1"/>
    <xf numFmtId="0" fontId="16" fillId="10" borderId="0" xfId="0" applyFont="1" applyFill="1"/>
    <xf numFmtId="0" fontId="17" fillId="0" borderId="0" xfId="0" applyFont="1" applyAlignment="1">
      <alignment horizontal="center"/>
    </xf>
    <xf numFmtId="0" fontId="0" fillId="11" borderId="0" xfId="0" applyFill="1"/>
  </cellXfs>
  <cellStyles count="5">
    <cellStyle name="Normal" xfId="0" builtinId="0"/>
    <cellStyle name="Normal 2" xfId="2" xr:uid="{2ED70002-D0CE-4E3D-822F-8BDDCD0B93E0}"/>
    <cellStyle name="Normal 3" xfId="3" xr:uid="{FA57EE0B-BB5E-4E12-9F35-EE3FF5EFB500}"/>
    <cellStyle name="Normal 4" xfId="4" xr:uid="{326BA61F-C651-449B-8D93-A004B413ADE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8EFE-A497-4149-83E0-E3BC95AF6963}">
  <dimension ref="A1:K24"/>
  <sheetViews>
    <sheetView zoomScale="80" zoomScaleNormal="145" workbookViewId="0">
      <selection activeCell="L10" sqref="L10"/>
    </sheetView>
  </sheetViews>
  <sheetFormatPr defaultColWidth="11.42578125" defaultRowHeight="15" x14ac:dyDescent="0.25"/>
  <cols>
    <col min="1" max="1" width="49.28515625" customWidth="1"/>
    <col min="2" max="2" width="43.7109375" customWidth="1"/>
  </cols>
  <sheetData>
    <row r="1" spans="1:11" ht="15.75" x14ac:dyDescent="0.25">
      <c r="A1" s="51"/>
      <c r="B1" s="51"/>
      <c r="C1" s="51"/>
      <c r="D1" s="51"/>
      <c r="E1" s="51"/>
      <c r="F1" s="51"/>
      <c r="G1" s="51"/>
      <c r="H1" s="51"/>
      <c r="I1" s="51"/>
      <c r="J1" s="51"/>
    </row>
    <row r="2" spans="1:11" ht="15.75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ht="15.75" x14ac:dyDescent="0.25">
      <c r="A3" s="51"/>
      <c r="B3" s="52" t="s">
        <v>0</v>
      </c>
      <c r="C3" s="51" t="s">
        <v>255</v>
      </c>
      <c r="D3" s="51"/>
      <c r="E3" s="51"/>
      <c r="F3" s="51"/>
      <c r="G3" s="51"/>
      <c r="H3" s="51"/>
      <c r="I3" s="51"/>
      <c r="J3" s="51"/>
      <c r="K3" s="51"/>
    </row>
    <row r="4" spans="1:11" ht="15.75" x14ac:dyDescent="0.25">
      <c r="A4" s="51"/>
      <c r="B4" s="52"/>
      <c r="C4" s="51"/>
      <c r="D4" s="51"/>
      <c r="E4" s="51"/>
      <c r="F4" s="51"/>
      <c r="G4" s="51"/>
      <c r="H4" s="51"/>
      <c r="I4" s="51"/>
      <c r="J4" s="51"/>
      <c r="K4" s="51"/>
    </row>
    <row r="5" spans="1:11" ht="15.75" x14ac:dyDescent="0.25">
      <c r="A5" s="51"/>
      <c r="B5" s="52" t="s">
        <v>1</v>
      </c>
      <c r="C5" s="51" t="s">
        <v>259</v>
      </c>
      <c r="D5" s="51"/>
      <c r="E5" s="51"/>
      <c r="F5" s="51"/>
      <c r="G5" s="51"/>
      <c r="H5" s="51"/>
      <c r="I5" s="51"/>
      <c r="J5" s="51"/>
      <c r="K5" s="51"/>
    </row>
    <row r="6" spans="1:11" ht="15.75" x14ac:dyDescent="0.25">
      <c r="A6" s="51"/>
      <c r="B6" s="52"/>
      <c r="C6" s="51" t="s">
        <v>2</v>
      </c>
      <c r="D6" s="51"/>
      <c r="E6" s="51" t="s">
        <v>263</v>
      </c>
      <c r="F6" s="51"/>
      <c r="G6" s="51"/>
      <c r="H6" s="51" t="s">
        <v>260</v>
      </c>
      <c r="I6" s="51"/>
      <c r="J6" s="51" t="s">
        <v>3</v>
      </c>
      <c r="K6" s="51"/>
    </row>
    <row r="7" spans="1:11" ht="15.75" x14ac:dyDescent="0.25">
      <c r="A7" s="51"/>
      <c r="B7" s="52"/>
      <c r="C7" s="51"/>
      <c r="D7" s="51"/>
      <c r="E7" s="51"/>
      <c r="F7" s="51"/>
      <c r="G7" s="51"/>
      <c r="H7" s="51"/>
      <c r="I7" s="51"/>
      <c r="J7" s="51"/>
      <c r="K7" s="51"/>
    </row>
    <row r="8" spans="1:11" ht="15.75" x14ac:dyDescent="0.25">
      <c r="A8" s="51"/>
      <c r="B8" s="52"/>
      <c r="C8" s="51"/>
      <c r="D8" s="51"/>
      <c r="E8" s="51"/>
      <c r="F8" s="51"/>
      <c r="G8" s="51"/>
      <c r="H8" s="51"/>
      <c r="I8" s="51"/>
      <c r="J8" s="51"/>
      <c r="K8" s="51"/>
    </row>
    <row r="9" spans="1:11" ht="15.75" x14ac:dyDescent="0.25">
      <c r="A9" s="51" t="s">
        <v>4</v>
      </c>
      <c r="B9" s="52" t="s">
        <v>5</v>
      </c>
      <c r="C9" s="51" t="s">
        <v>2</v>
      </c>
      <c r="D9" s="51"/>
      <c r="E9" s="51" t="s">
        <v>263</v>
      </c>
      <c r="F9" s="51"/>
      <c r="G9" s="51"/>
      <c r="H9" s="51" t="s">
        <v>260</v>
      </c>
      <c r="I9" s="51"/>
      <c r="J9" s="51" t="s">
        <v>3</v>
      </c>
      <c r="K9" s="51"/>
    </row>
    <row r="10" spans="1:11" ht="15.75" x14ac:dyDescent="0.25">
      <c r="A10" s="51"/>
      <c r="B10" s="52" t="s">
        <v>6</v>
      </c>
      <c r="C10" s="53" t="s">
        <v>7</v>
      </c>
      <c r="D10" s="51"/>
      <c r="E10" s="51"/>
      <c r="F10" s="51"/>
      <c r="G10" s="51"/>
      <c r="H10" s="51"/>
      <c r="I10" s="51"/>
      <c r="J10" s="51"/>
      <c r="K10" s="51"/>
    </row>
    <row r="11" spans="1:11" ht="15.75" x14ac:dyDescent="0.25">
      <c r="A11" s="51"/>
      <c r="B11" s="52"/>
      <c r="C11" s="51"/>
      <c r="D11" s="51"/>
      <c r="E11" s="51"/>
      <c r="F11" s="51"/>
      <c r="G11" s="51"/>
      <c r="H11" s="51"/>
      <c r="I11" s="51"/>
      <c r="J11" s="51"/>
      <c r="K11" s="51"/>
    </row>
    <row r="12" spans="1:11" ht="15.75" x14ac:dyDescent="0.25">
      <c r="A12" s="51" t="s">
        <v>261</v>
      </c>
      <c r="B12" s="52" t="s">
        <v>8</v>
      </c>
      <c r="C12" s="51" t="s">
        <v>2</v>
      </c>
      <c r="D12" s="51"/>
      <c r="E12" s="51" t="s">
        <v>263</v>
      </c>
      <c r="F12" s="51"/>
      <c r="G12" s="51"/>
      <c r="H12" s="51" t="s">
        <v>260</v>
      </c>
      <c r="I12" s="51"/>
      <c r="J12" s="51" t="s">
        <v>3</v>
      </c>
      <c r="K12" s="51"/>
    </row>
    <row r="13" spans="1:11" ht="15.75" x14ac:dyDescent="0.25">
      <c r="A13" s="51"/>
      <c r="B13" s="52" t="s">
        <v>6</v>
      </c>
      <c r="C13" s="53" t="s">
        <v>9</v>
      </c>
      <c r="D13" s="51"/>
      <c r="E13" s="51"/>
      <c r="F13" s="51"/>
      <c r="G13" s="51"/>
      <c r="H13" s="51"/>
      <c r="I13" s="51"/>
      <c r="J13" s="51"/>
      <c r="K13" s="51"/>
    </row>
    <row r="14" spans="1:11" ht="15.75" x14ac:dyDescent="0.25">
      <c r="A14" s="51"/>
      <c r="B14" s="52"/>
      <c r="C14" s="51"/>
      <c r="D14" s="51"/>
      <c r="E14" s="51"/>
      <c r="F14" s="51"/>
      <c r="G14" s="51"/>
      <c r="H14" s="51"/>
      <c r="I14" s="51"/>
      <c r="J14" s="51"/>
      <c r="K14" s="51"/>
    </row>
    <row r="15" spans="1:11" ht="15.75" x14ac:dyDescent="0.25">
      <c r="A15" s="51" t="s">
        <v>262</v>
      </c>
      <c r="B15" s="52" t="s">
        <v>10</v>
      </c>
      <c r="C15" s="51" t="s">
        <v>2</v>
      </c>
      <c r="D15" s="51"/>
      <c r="E15" s="51" t="s">
        <v>263</v>
      </c>
      <c r="F15" s="51"/>
      <c r="G15" s="51"/>
      <c r="H15" s="51" t="s">
        <v>260</v>
      </c>
      <c r="I15" s="51"/>
      <c r="J15" s="51" t="s">
        <v>3</v>
      </c>
      <c r="K15" s="51"/>
    </row>
    <row r="16" spans="1:11" ht="15.75" x14ac:dyDescent="0.25">
      <c r="A16" s="51"/>
      <c r="B16" s="52" t="s">
        <v>6</v>
      </c>
      <c r="C16" s="53" t="s">
        <v>11</v>
      </c>
      <c r="D16" s="51"/>
      <c r="E16" s="51"/>
      <c r="F16" s="51"/>
      <c r="G16" s="51"/>
      <c r="H16" s="51"/>
      <c r="I16" s="51"/>
      <c r="J16" s="51"/>
      <c r="K16" s="51"/>
    </row>
    <row r="17" spans="1:11" ht="15.75" x14ac:dyDescent="0.25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</row>
    <row r="18" spans="1:11" ht="15.75" x14ac:dyDescent="0.25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</row>
    <row r="19" spans="1:11" ht="15.75" x14ac:dyDescent="0.25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spans="1:11" ht="15.75" x14ac:dyDescent="0.2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</row>
    <row r="21" spans="1:11" ht="15.75" x14ac:dyDescent="0.2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</row>
    <row r="24" spans="1:11" x14ac:dyDescent="0.25">
      <c r="B2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02D9-159C-4686-95B8-8B76A6877983}">
  <dimension ref="A1:I13"/>
  <sheetViews>
    <sheetView workbookViewId="0">
      <selection sqref="A1:H13"/>
    </sheetView>
  </sheetViews>
  <sheetFormatPr defaultColWidth="9.140625" defaultRowHeight="15" x14ac:dyDescent="0.25"/>
  <cols>
    <col min="2" max="2" width="29.85546875" customWidth="1"/>
    <col min="3" max="3" width="21.28515625" customWidth="1"/>
    <col min="4" max="4" width="16.28515625" customWidth="1"/>
    <col min="5" max="5" width="18.85546875" customWidth="1"/>
    <col min="7" max="7" width="14.85546875" customWidth="1"/>
    <col min="8" max="8" width="21.7109375" customWidth="1"/>
  </cols>
  <sheetData>
    <row r="1" spans="1:9" x14ac:dyDescent="0.25">
      <c r="A1" s="10"/>
      <c r="B1" s="10" t="s">
        <v>214</v>
      </c>
      <c r="C1" s="10"/>
    </row>
    <row r="2" spans="1:9" x14ac:dyDescent="0.25">
      <c r="A2" s="4" t="s">
        <v>19</v>
      </c>
      <c r="C2" t="s">
        <v>20</v>
      </c>
      <c r="D2" t="s">
        <v>21</v>
      </c>
      <c r="E2" t="s">
        <v>155</v>
      </c>
      <c r="F2" t="s">
        <v>156</v>
      </c>
      <c r="G2" t="s">
        <v>157</v>
      </c>
      <c r="H2" t="s">
        <v>158</v>
      </c>
    </row>
    <row r="3" spans="1:9" x14ac:dyDescent="0.25">
      <c r="B3" s="3" t="s">
        <v>26</v>
      </c>
      <c r="C3" t="s">
        <v>27</v>
      </c>
      <c r="D3">
        <v>0.65665921881774303</v>
      </c>
      <c r="E3">
        <v>3.8261057303205503E-2</v>
      </c>
      <c r="F3" s="39">
        <v>171625999149461</v>
      </c>
      <c r="G3" t="s">
        <v>159</v>
      </c>
      <c r="H3" s="39">
        <v>104071806287078</v>
      </c>
    </row>
    <row r="4" spans="1:9" x14ac:dyDescent="0.25">
      <c r="B4" s="3" t="s">
        <v>31</v>
      </c>
      <c r="C4" t="s">
        <v>32</v>
      </c>
      <c r="D4" s="39">
        <v>1.14218337449621</v>
      </c>
      <c r="E4">
        <v>3.5546642119167297E-2</v>
      </c>
      <c r="F4" s="39">
        <v>321319625822076</v>
      </c>
      <c r="G4" t="s">
        <v>160</v>
      </c>
      <c r="H4" s="39">
        <v>190951674999879</v>
      </c>
      <c r="I4" s="39"/>
    </row>
    <row r="5" spans="1:9" x14ac:dyDescent="0.25">
      <c r="B5" s="3" t="s">
        <v>36</v>
      </c>
      <c r="C5" t="s">
        <v>37</v>
      </c>
      <c r="D5" s="39">
        <v>2.62360816613876</v>
      </c>
      <c r="E5">
        <v>8.3572343119339906E-2</v>
      </c>
      <c r="F5" s="39">
        <v>313932584418782</v>
      </c>
      <c r="G5" t="s">
        <v>161</v>
      </c>
      <c r="H5" s="39">
        <v>272548846664988</v>
      </c>
      <c r="I5" s="39"/>
    </row>
    <row r="6" spans="1:9" x14ac:dyDescent="0.25">
      <c r="B6" t="s">
        <v>41</v>
      </c>
      <c r="C6" t="s">
        <v>42</v>
      </c>
      <c r="D6" t="s">
        <v>162</v>
      </c>
      <c r="E6">
        <v>0.112047925645548</v>
      </c>
      <c r="F6" s="39">
        <v>-835438283502282</v>
      </c>
      <c r="G6" t="s">
        <v>163</v>
      </c>
      <c r="H6" s="39">
        <v>-111574556357827</v>
      </c>
      <c r="I6" s="39"/>
    </row>
    <row r="7" spans="1:9" x14ac:dyDescent="0.25">
      <c r="B7" t="s">
        <v>46</v>
      </c>
      <c r="C7" t="s">
        <v>47</v>
      </c>
      <c r="D7" t="s">
        <v>164</v>
      </c>
      <c r="E7">
        <v>3.01972845907751E-2</v>
      </c>
      <c r="F7" s="39">
        <v>-50599302610868</v>
      </c>
      <c r="G7" t="s">
        <v>165</v>
      </c>
      <c r="H7" s="39">
        <v>-47571338962469</v>
      </c>
      <c r="I7" s="39"/>
    </row>
    <row r="8" spans="1:9" x14ac:dyDescent="0.25">
      <c r="B8" t="s">
        <v>51</v>
      </c>
      <c r="C8" t="s">
        <v>52</v>
      </c>
      <c r="D8" t="s">
        <v>166</v>
      </c>
      <c r="E8">
        <v>3.4959201444269401E-2</v>
      </c>
      <c r="F8" s="39">
        <v>-122484509479728</v>
      </c>
      <c r="G8" t="s">
        <v>167</v>
      </c>
      <c r="H8" s="39">
        <v>-12718941992387</v>
      </c>
      <c r="I8" s="39"/>
    </row>
    <row r="9" spans="1:9" x14ac:dyDescent="0.25">
      <c r="B9" t="s">
        <v>55</v>
      </c>
      <c r="C9" t="s">
        <v>56</v>
      </c>
      <c r="D9" t="s">
        <v>168</v>
      </c>
      <c r="E9">
        <v>3.2384636631504003E-2</v>
      </c>
      <c r="F9" s="39">
        <v>-837154227534308</v>
      </c>
      <c r="G9" t="s">
        <v>169</v>
      </c>
      <c r="H9" s="39">
        <v>-939024529103143</v>
      </c>
    </row>
    <row r="10" spans="1:9" x14ac:dyDescent="0.25">
      <c r="B10" t="s">
        <v>58</v>
      </c>
      <c r="C10" t="s">
        <v>59</v>
      </c>
      <c r="D10" t="s">
        <v>170</v>
      </c>
      <c r="E10">
        <v>2.2925188094057102E-2</v>
      </c>
      <c r="F10" s="39">
        <v>-106452708327845</v>
      </c>
      <c r="G10" t="s">
        <v>171</v>
      </c>
      <c r="H10" s="39">
        <v>-114264768602891</v>
      </c>
    </row>
    <row r="11" spans="1:9" x14ac:dyDescent="0.25">
      <c r="B11" t="s">
        <v>61</v>
      </c>
      <c r="C11" t="s">
        <v>62</v>
      </c>
      <c r="D11" t="s">
        <v>172</v>
      </c>
      <c r="E11">
        <v>2.2635027558303201E-2</v>
      </c>
      <c r="F11" s="39">
        <v>-228848706499884</v>
      </c>
      <c r="G11" t="s">
        <v>173</v>
      </c>
      <c r="H11" s="39">
        <v>-240717833734247</v>
      </c>
    </row>
    <row r="12" spans="1:9" x14ac:dyDescent="0.25">
      <c r="B12" t="s">
        <v>64</v>
      </c>
      <c r="C12" t="s">
        <v>65</v>
      </c>
      <c r="D12">
        <v>6.9907027341059996E-2</v>
      </c>
      <c r="E12">
        <v>2.13818775055706E-2</v>
      </c>
      <c r="F12" s="39">
        <v>326945224164001</v>
      </c>
      <c r="G12" t="s">
        <v>174</v>
      </c>
      <c r="H12" s="39">
        <v>244967932442482</v>
      </c>
    </row>
    <row r="13" spans="1:9" x14ac:dyDescent="0.25">
      <c r="B13" t="s">
        <v>67</v>
      </c>
      <c r="C13" t="s">
        <v>68</v>
      </c>
      <c r="D13">
        <v>0.107901207439765</v>
      </c>
      <c r="E13">
        <v>1.9951307824321699E-2</v>
      </c>
      <c r="F13" s="39">
        <v>540822728965303</v>
      </c>
      <c r="G13" t="s">
        <v>175</v>
      </c>
      <c r="H13" s="39">
        <v>441495046794461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BC49-27FD-4031-9E70-83E2803561FD}">
  <dimension ref="A1:AP116"/>
  <sheetViews>
    <sheetView tabSelected="1" zoomScale="73" zoomScaleNormal="85" workbookViewId="0">
      <pane xSplit="3" ySplit="2" topLeftCell="T24" activePane="bottomRight" state="frozen"/>
      <selection pane="topRight" activeCell="D1" sqref="D1"/>
      <selection pane="bottomLeft" activeCell="A3" sqref="A3"/>
      <selection pane="bottomRight" activeCell="U26" sqref="U26"/>
    </sheetView>
  </sheetViews>
  <sheetFormatPr defaultColWidth="11.42578125" defaultRowHeight="15" x14ac:dyDescent="0.25"/>
  <cols>
    <col min="1" max="1" width="4.85546875" customWidth="1"/>
    <col min="2" max="2" width="46.85546875" customWidth="1"/>
    <col min="3" max="3" width="23.140625" customWidth="1"/>
    <col min="4" max="4" width="8.7109375" bestFit="1" customWidth="1"/>
    <col min="5" max="5" width="5.5703125" bestFit="1" customWidth="1"/>
    <col min="6" max="6" width="7.28515625" customWidth="1"/>
    <col min="8" max="8" width="9.7109375" customWidth="1"/>
    <col min="9" max="9" width="8" customWidth="1"/>
    <col min="10" max="10" width="10.7109375" customWidth="1"/>
    <col min="20" max="20" width="8.5703125" customWidth="1"/>
    <col min="21" max="21" width="7.7109375" customWidth="1"/>
    <col min="22" max="22" width="12" customWidth="1"/>
    <col min="24" max="24" width="9.28515625" customWidth="1"/>
    <col min="25" max="25" width="12.28515625" customWidth="1"/>
    <col min="26" max="26" width="14.140625" customWidth="1"/>
  </cols>
  <sheetData>
    <row r="1" spans="1:42" s="10" customFormat="1" x14ac:dyDescent="0.25">
      <c r="B1" s="10" t="s">
        <v>12</v>
      </c>
      <c r="D1" s="19"/>
      <c r="H1" s="18" t="s">
        <v>14</v>
      </c>
      <c r="I1" s="19"/>
      <c r="L1" s="19" t="s">
        <v>15</v>
      </c>
      <c r="P1" s="19" t="s">
        <v>16</v>
      </c>
      <c r="T1" s="19"/>
      <c r="X1" s="19" t="s">
        <v>17</v>
      </c>
      <c r="AG1" s="19"/>
      <c r="AM1" s="19" t="s">
        <v>18</v>
      </c>
    </row>
    <row r="2" spans="1:42" x14ac:dyDescent="0.25">
      <c r="A2" s="4" t="s">
        <v>19</v>
      </c>
      <c r="C2" t="s">
        <v>20</v>
      </c>
      <c r="H2" t="s">
        <v>21</v>
      </c>
      <c r="I2" t="s">
        <v>22</v>
      </c>
      <c r="J2" t="s">
        <v>23</v>
      </c>
      <c r="L2" t="s">
        <v>21</v>
      </c>
      <c r="M2" t="s">
        <v>22</v>
      </c>
      <c r="N2" t="s">
        <v>23</v>
      </c>
      <c r="P2" t="s">
        <v>21</v>
      </c>
      <c r="Q2" t="s">
        <v>22</v>
      </c>
      <c r="R2" t="s">
        <v>23</v>
      </c>
      <c r="X2" t="s">
        <v>21</v>
      </c>
      <c r="Y2" t="s">
        <v>22</v>
      </c>
      <c r="Z2" t="s">
        <v>23</v>
      </c>
      <c r="AM2" t="s">
        <v>20</v>
      </c>
      <c r="AN2" t="s">
        <v>21</v>
      </c>
      <c r="AO2" t="s">
        <v>24</v>
      </c>
      <c r="AP2" t="s">
        <v>25</v>
      </c>
    </row>
    <row r="3" spans="1:42" hidden="1" x14ac:dyDescent="0.25">
      <c r="B3" s="3" t="s">
        <v>26</v>
      </c>
      <c r="C3" t="s">
        <v>27</v>
      </c>
      <c r="D3" s="37"/>
      <c r="E3" s="38"/>
      <c r="F3" s="38"/>
      <c r="G3" s="2" t="str">
        <f t="shared" ref="G3:G23" si="0">IF(ABS(F3)&gt;2.576,"***",IF(ABS(F3)&gt;1.96,"**",IF(ABS(F3)&gt;1.645,"*","")))</f>
        <v/>
      </c>
      <c r="K3" s="2" t="str">
        <f t="shared" ref="K3:K26" si="1">IF(ABS(J3)&gt;2.576,"***",IF(ABS(J3)&gt;1.96,"**",IF(ABS(J3)&gt;1.645,"*","")))</f>
        <v/>
      </c>
      <c r="O3" s="2" t="str">
        <f t="shared" ref="O3:O23" si="2">IF(ABS(N3)&gt;2.576,"***",IF(ABS(N3)&gt;1.96,"**",IF(ABS(N3)&gt;1.645,"*","")))</f>
        <v/>
      </c>
      <c r="S3" s="2" t="str">
        <f t="shared" ref="S3:S23" si="3">IF(ABS(R3)&gt;2.576,"***",IF(ABS(R3)&gt;1.96,"**",IF(ABS(R3)&gt;1.645,"*","")))</f>
        <v/>
      </c>
      <c r="W3" s="2" t="str">
        <f t="shared" ref="W3:W23" si="4">IF(ABS(V3)&gt;2.576,"***",IF(ABS(V3)&gt;1.96,"**",IF(ABS(V3)&gt;1.645,"*","")))</f>
        <v/>
      </c>
      <c r="AA3" s="2" t="str">
        <f t="shared" ref="AA3:AA23" si="5">IF(ABS(Z3)&gt;2.576,"***",IF(ABS(Z3)&gt;1.96,"**",IF(ABS(Z3)&gt;1.645,"*","")))</f>
        <v/>
      </c>
      <c r="AM3" t="s">
        <v>28</v>
      </c>
      <c r="AN3">
        <v>0.63386886375474305</v>
      </c>
      <c r="AO3">
        <v>4.9271345816573602E-2</v>
      </c>
      <c r="AP3">
        <v>12.8648579260347</v>
      </c>
    </row>
    <row r="4" spans="1:42" hidden="1" x14ac:dyDescent="0.25">
      <c r="C4" t="s">
        <v>29</v>
      </c>
      <c r="D4" s="38"/>
      <c r="E4" s="38"/>
      <c r="F4" s="38"/>
      <c r="G4" s="2" t="str">
        <f t="shared" si="0"/>
        <v/>
      </c>
      <c r="K4" s="2" t="str">
        <f t="shared" si="1"/>
        <v/>
      </c>
      <c r="O4" s="2" t="str">
        <f t="shared" si="2"/>
        <v/>
      </c>
      <c r="S4" s="2" t="str">
        <f t="shared" si="3"/>
        <v/>
      </c>
      <c r="W4" s="2" t="str">
        <f t="shared" si="4"/>
        <v/>
      </c>
      <c r="AA4" s="2" t="str">
        <f t="shared" si="5"/>
        <v/>
      </c>
      <c r="AM4" t="s">
        <v>30</v>
      </c>
      <c r="AN4">
        <v>1.0648858492147799</v>
      </c>
      <c r="AO4">
        <v>4.7028864803583099E-2</v>
      </c>
      <c r="AP4">
        <v>22.643239501151001</v>
      </c>
    </row>
    <row r="5" spans="1:42" hidden="1" x14ac:dyDescent="0.25">
      <c r="B5" s="3" t="s">
        <v>31</v>
      </c>
      <c r="C5" t="s">
        <v>32</v>
      </c>
      <c r="D5" s="38"/>
      <c r="E5" s="38"/>
      <c r="F5" s="38"/>
      <c r="G5" s="2" t="str">
        <f t="shared" si="0"/>
        <v/>
      </c>
      <c r="K5" s="2" t="str">
        <f t="shared" si="1"/>
        <v/>
      </c>
      <c r="O5" s="2" t="str">
        <f t="shared" si="2"/>
        <v/>
      </c>
      <c r="S5" s="2" t="str">
        <f t="shared" si="3"/>
        <v/>
      </c>
      <c r="W5" s="2" t="str">
        <f t="shared" si="4"/>
        <v/>
      </c>
      <c r="AA5" s="2" t="str">
        <f t="shared" si="5"/>
        <v/>
      </c>
      <c r="AM5" t="s">
        <v>33</v>
      </c>
      <c r="AN5">
        <v>2.1422370819480601</v>
      </c>
      <c r="AO5">
        <v>0.113082112960273</v>
      </c>
      <c r="AP5">
        <v>18.9440843106694</v>
      </c>
    </row>
    <row r="6" spans="1:42" hidden="1" x14ac:dyDescent="0.25">
      <c r="C6" t="s">
        <v>34</v>
      </c>
      <c r="D6" s="38"/>
      <c r="E6" s="38"/>
      <c r="F6" s="38"/>
      <c r="G6" s="2" t="str">
        <f t="shared" si="0"/>
        <v/>
      </c>
      <c r="K6" s="2" t="str">
        <f t="shared" si="1"/>
        <v/>
      </c>
      <c r="O6" s="2" t="str">
        <f t="shared" si="2"/>
        <v/>
      </c>
      <c r="S6" s="2" t="str">
        <f t="shared" si="3"/>
        <v/>
      </c>
      <c r="W6" s="2" t="str">
        <f t="shared" si="4"/>
        <v/>
      </c>
      <c r="AA6" s="2" t="str">
        <f t="shared" si="5"/>
        <v/>
      </c>
      <c r="AM6" t="s">
        <v>35</v>
      </c>
      <c r="AN6">
        <v>-7.3297239367986202E-3</v>
      </c>
      <c r="AO6">
        <v>1.47666557282154E-3</v>
      </c>
      <c r="AP6">
        <v>-4.9636993451356402</v>
      </c>
    </row>
    <row r="7" spans="1:42" hidden="1" x14ac:dyDescent="0.25">
      <c r="B7" s="3" t="s">
        <v>36</v>
      </c>
      <c r="C7" t="s">
        <v>37</v>
      </c>
      <c r="D7" s="38"/>
      <c r="E7" s="38"/>
      <c r="F7" s="38"/>
      <c r="G7" s="2" t="str">
        <f t="shared" si="0"/>
        <v/>
      </c>
      <c r="K7" s="2" t="str">
        <f t="shared" si="1"/>
        <v/>
      </c>
      <c r="O7" s="2" t="str">
        <f t="shared" si="2"/>
        <v/>
      </c>
      <c r="S7" s="2" t="str">
        <f t="shared" si="3"/>
        <v/>
      </c>
      <c r="W7" s="2" t="str">
        <f t="shared" si="4"/>
        <v/>
      </c>
      <c r="AA7" s="2" t="str">
        <f t="shared" si="5"/>
        <v/>
      </c>
      <c r="AM7" t="s">
        <v>38</v>
      </c>
      <c r="AN7">
        <v>-0.246766286731887</v>
      </c>
      <c r="AO7">
        <v>4.0223798636248399E-2</v>
      </c>
      <c r="AP7">
        <v>-6.1348329868951899</v>
      </c>
    </row>
    <row r="8" spans="1:42" hidden="1" x14ac:dyDescent="0.25">
      <c r="C8" t="s">
        <v>39</v>
      </c>
      <c r="D8" s="38"/>
      <c r="E8" s="38"/>
      <c r="F8" s="38"/>
      <c r="G8" s="2" t="str">
        <f t="shared" si="0"/>
        <v/>
      </c>
      <c r="K8" s="2" t="str">
        <f t="shared" si="1"/>
        <v/>
      </c>
      <c r="O8" s="2" t="str">
        <f t="shared" si="2"/>
        <v/>
      </c>
      <c r="S8" s="2" t="str">
        <f t="shared" si="3"/>
        <v/>
      </c>
      <c r="W8" s="2" t="str">
        <f t="shared" si="4"/>
        <v/>
      </c>
      <c r="AA8" s="2" t="str">
        <f t="shared" si="5"/>
        <v/>
      </c>
      <c r="AM8" t="s">
        <v>40</v>
      </c>
      <c r="AN8">
        <v>-0.56314547060662501</v>
      </c>
      <c r="AO8">
        <v>4.67041277196747E-2</v>
      </c>
      <c r="AP8">
        <v>-12.0577237623773</v>
      </c>
    </row>
    <row r="9" spans="1:42" hidden="1" x14ac:dyDescent="0.25">
      <c r="B9" t="s">
        <v>41</v>
      </c>
      <c r="C9" t="s">
        <v>42</v>
      </c>
      <c r="D9" s="38"/>
      <c r="E9" s="38"/>
      <c r="F9" s="38"/>
      <c r="G9" s="2" t="str">
        <f t="shared" si="0"/>
        <v/>
      </c>
      <c r="K9" s="2" t="str">
        <f t="shared" si="1"/>
        <v/>
      </c>
      <c r="O9" s="2" t="str">
        <f t="shared" si="2"/>
        <v/>
      </c>
      <c r="S9" s="2" t="str">
        <f t="shared" si="3"/>
        <v/>
      </c>
      <c r="W9" s="2" t="str">
        <f t="shared" si="4"/>
        <v/>
      </c>
      <c r="AA9" s="2" t="str">
        <f t="shared" si="5"/>
        <v/>
      </c>
      <c r="AM9" t="s">
        <v>43</v>
      </c>
      <c r="AN9">
        <v>-0.35915074903390598</v>
      </c>
      <c r="AO9">
        <v>4.30558918680237E-2</v>
      </c>
      <c r="AP9">
        <v>-8.3415006274817394</v>
      </c>
    </row>
    <row r="10" spans="1:42" hidden="1" x14ac:dyDescent="0.25">
      <c r="C10" t="s">
        <v>44</v>
      </c>
      <c r="D10" s="38"/>
      <c r="E10" s="38"/>
      <c r="F10" s="38"/>
      <c r="G10" s="2" t="str">
        <f t="shared" si="0"/>
        <v/>
      </c>
      <c r="K10" s="2" t="str">
        <f t="shared" si="1"/>
        <v/>
      </c>
      <c r="O10" s="2" t="str">
        <f t="shared" si="2"/>
        <v/>
      </c>
      <c r="S10" s="2" t="str">
        <f t="shared" si="3"/>
        <v/>
      </c>
      <c r="W10" s="2" t="str">
        <f t="shared" si="4"/>
        <v/>
      </c>
      <c r="AA10" s="2" t="str">
        <f t="shared" si="5"/>
        <v/>
      </c>
      <c r="AM10" t="s">
        <v>45</v>
      </c>
      <c r="AN10">
        <v>-0.29728703068164603</v>
      </c>
      <c r="AO10">
        <v>3.0292555167278301E-2</v>
      </c>
      <c r="AP10">
        <v>-9.8138644640572306</v>
      </c>
    </row>
    <row r="11" spans="1:42" hidden="1" x14ac:dyDescent="0.25">
      <c r="B11" t="s">
        <v>46</v>
      </c>
      <c r="C11" t="s">
        <v>47</v>
      </c>
      <c r="D11" s="38"/>
      <c r="E11" s="38"/>
      <c r="F11" s="38"/>
      <c r="G11" s="2" t="str">
        <f t="shared" si="0"/>
        <v/>
      </c>
      <c r="K11" s="2" t="str">
        <f t="shared" si="1"/>
        <v/>
      </c>
      <c r="O11" s="2" t="str">
        <f t="shared" si="2"/>
        <v/>
      </c>
      <c r="S11" s="2" t="str">
        <f t="shared" si="3"/>
        <v/>
      </c>
      <c r="W11" s="2" t="str">
        <f t="shared" si="4"/>
        <v/>
      </c>
      <c r="AA11" s="2" t="str">
        <f t="shared" si="5"/>
        <v/>
      </c>
      <c r="AM11" t="s">
        <v>48</v>
      </c>
      <c r="AN11">
        <v>-7.2773716160875093E-2</v>
      </c>
      <c r="AO11">
        <v>2.9877928589524601E-2</v>
      </c>
      <c r="AP11">
        <v>-2.4357015227083099</v>
      </c>
    </row>
    <row r="12" spans="1:42" hidden="1" x14ac:dyDescent="0.25">
      <c r="C12" t="s">
        <v>49</v>
      </c>
      <c r="D12" s="38"/>
      <c r="E12" s="38"/>
      <c r="F12" s="38"/>
      <c r="G12" s="2" t="str">
        <f t="shared" si="0"/>
        <v/>
      </c>
      <c r="K12" s="2" t="str">
        <f t="shared" si="1"/>
        <v/>
      </c>
      <c r="O12" s="2" t="str">
        <f t="shared" si="2"/>
        <v/>
      </c>
      <c r="S12" s="2" t="str">
        <f t="shared" si="3"/>
        <v/>
      </c>
      <c r="W12" s="2" t="str">
        <f t="shared" si="4"/>
        <v/>
      </c>
      <c r="AA12" s="2" t="str">
        <f t="shared" si="5"/>
        <v/>
      </c>
      <c r="AM12" t="s">
        <v>50</v>
      </c>
      <c r="AN12">
        <v>7.6762591708907701E-2</v>
      </c>
      <c r="AO12">
        <v>3.0380083947347501E-2</v>
      </c>
      <c r="AP12">
        <v>2.5267406055212698</v>
      </c>
    </row>
    <row r="13" spans="1:42" hidden="1" x14ac:dyDescent="0.25">
      <c r="B13" t="s">
        <v>51</v>
      </c>
      <c r="C13" t="s">
        <v>52</v>
      </c>
      <c r="D13" s="38"/>
      <c r="E13" s="38"/>
      <c r="F13" s="38"/>
      <c r="G13" s="2" t="str">
        <f t="shared" si="0"/>
        <v/>
      </c>
      <c r="K13" s="2" t="str">
        <f t="shared" si="1"/>
        <v/>
      </c>
      <c r="O13" s="2" t="str">
        <f t="shared" si="2"/>
        <v/>
      </c>
      <c r="S13" s="2" t="str">
        <f t="shared" si="3"/>
        <v/>
      </c>
      <c r="W13" s="2" t="str">
        <f t="shared" si="4"/>
        <v/>
      </c>
      <c r="AA13" s="2" t="str">
        <f t="shared" si="5"/>
        <v/>
      </c>
      <c r="AM13" t="s">
        <v>53</v>
      </c>
      <c r="AN13">
        <v>9.3701935419958804E-2</v>
      </c>
      <c r="AO13">
        <v>2.86557053970759E-2</v>
      </c>
      <c r="AP13">
        <v>3.2699224856464499</v>
      </c>
    </row>
    <row r="14" spans="1:42" hidden="1" x14ac:dyDescent="0.25">
      <c r="C14" t="s">
        <v>54</v>
      </c>
      <c r="D14" s="38"/>
      <c r="E14" s="38"/>
      <c r="F14" s="38"/>
      <c r="G14" s="2" t="str">
        <f t="shared" si="0"/>
        <v/>
      </c>
      <c r="K14" s="2" t="str">
        <f t="shared" si="1"/>
        <v/>
      </c>
      <c r="O14" s="2" t="str">
        <f t="shared" si="2"/>
        <v/>
      </c>
      <c r="S14" s="2" t="str">
        <f t="shared" si="3"/>
        <v/>
      </c>
      <c r="W14" s="2" t="str">
        <f t="shared" si="4"/>
        <v/>
      </c>
      <c r="AA14" s="2" t="str">
        <f t="shared" si="5"/>
        <v/>
      </c>
    </row>
    <row r="15" spans="1:42" hidden="1" x14ac:dyDescent="0.25">
      <c r="B15" t="s">
        <v>55</v>
      </c>
      <c r="C15" t="s">
        <v>56</v>
      </c>
      <c r="D15" s="38"/>
      <c r="E15" s="38"/>
      <c r="F15" s="38"/>
      <c r="G15" s="2" t="str">
        <f t="shared" si="0"/>
        <v/>
      </c>
      <c r="K15" s="2" t="str">
        <f t="shared" si="1"/>
        <v/>
      </c>
      <c r="O15" s="2" t="str">
        <f t="shared" si="2"/>
        <v/>
      </c>
      <c r="S15" s="2" t="str">
        <f t="shared" si="3"/>
        <v/>
      </c>
      <c r="W15" s="2" t="str">
        <f t="shared" si="4"/>
        <v/>
      </c>
      <c r="AA15" s="2" t="str">
        <f t="shared" si="5"/>
        <v/>
      </c>
    </row>
    <row r="16" spans="1:42" hidden="1" x14ac:dyDescent="0.25">
      <c r="C16" t="s">
        <v>57</v>
      </c>
      <c r="D16" s="38"/>
      <c r="E16" s="38"/>
      <c r="F16" s="38"/>
      <c r="G16" s="2" t="str">
        <f t="shared" si="0"/>
        <v/>
      </c>
      <c r="K16" s="2" t="str">
        <f t="shared" si="1"/>
        <v/>
      </c>
      <c r="O16" s="2" t="str">
        <f t="shared" si="2"/>
        <v/>
      </c>
      <c r="S16" s="2" t="str">
        <f t="shared" si="3"/>
        <v/>
      </c>
      <c r="W16" s="2" t="str">
        <f t="shared" si="4"/>
        <v/>
      </c>
      <c r="AA16" s="2" t="str">
        <f t="shared" si="5"/>
        <v/>
      </c>
    </row>
    <row r="17" spans="1:36" hidden="1" x14ac:dyDescent="0.25">
      <c r="B17" t="s">
        <v>58</v>
      </c>
      <c r="C17" t="s">
        <v>59</v>
      </c>
      <c r="D17" s="38"/>
      <c r="E17" s="38"/>
      <c r="F17" s="38"/>
      <c r="G17" s="2" t="str">
        <f t="shared" si="0"/>
        <v/>
      </c>
      <c r="K17" s="2" t="str">
        <f t="shared" si="1"/>
        <v/>
      </c>
      <c r="O17" s="2" t="str">
        <f t="shared" si="2"/>
        <v/>
      </c>
      <c r="S17" s="2" t="str">
        <f t="shared" si="3"/>
        <v/>
      </c>
      <c r="W17" s="2" t="str">
        <f t="shared" si="4"/>
        <v/>
      </c>
      <c r="AA17" s="2" t="str">
        <f t="shared" si="5"/>
        <v/>
      </c>
    </row>
    <row r="18" spans="1:36" hidden="1" x14ac:dyDescent="0.25">
      <c r="C18" t="s">
        <v>60</v>
      </c>
      <c r="D18" s="38"/>
      <c r="E18" s="38"/>
      <c r="F18" s="38"/>
      <c r="G18" s="2" t="str">
        <f t="shared" si="0"/>
        <v/>
      </c>
      <c r="K18" s="2" t="str">
        <f t="shared" si="1"/>
        <v/>
      </c>
      <c r="O18" s="2" t="str">
        <f t="shared" si="2"/>
        <v/>
      </c>
      <c r="S18" s="2" t="str">
        <f t="shared" si="3"/>
        <v/>
      </c>
      <c r="W18" s="2" t="str">
        <f t="shared" si="4"/>
        <v/>
      </c>
      <c r="AA18" s="2" t="str">
        <f t="shared" si="5"/>
        <v/>
      </c>
    </row>
    <row r="19" spans="1:36" hidden="1" x14ac:dyDescent="0.25">
      <c r="B19" t="s">
        <v>61</v>
      </c>
      <c r="C19" t="s">
        <v>62</v>
      </c>
      <c r="D19" s="38"/>
      <c r="E19" s="38"/>
      <c r="F19" s="38"/>
      <c r="G19" s="2" t="str">
        <f t="shared" si="0"/>
        <v/>
      </c>
      <c r="K19" s="2" t="str">
        <f t="shared" si="1"/>
        <v/>
      </c>
      <c r="O19" s="2" t="str">
        <f t="shared" si="2"/>
        <v/>
      </c>
      <c r="S19" s="2" t="str">
        <f t="shared" si="3"/>
        <v/>
      </c>
      <c r="W19" s="2" t="str">
        <f t="shared" si="4"/>
        <v/>
      </c>
      <c r="AA19" s="2" t="str">
        <f t="shared" si="5"/>
        <v/>
      </c>
    </row>
    <row r="20" spans="1:36" hidden="1" x14ac:dyDescent="0.25">
      <c r="C20" t="s">
        <v>63</v>
      </c>
      <c r="D20" s="38"/>
      <c r="E20" s="38"/>
      <c r="F20" s="38"/>
      <c r="G20" s="2" t="str">
        <f t="shared" si="0"/>
        <v/>
      </c>
      <c r="K20" s="2" t="str">
        <f t="shared" si="1"/>
        <v/>
      </c>
      <c r="O20" s="2" t="str">
        <f t="shared" si="2"/>
        <v/>
      </c>
      <c r="S20" s="2" t="str">
        <f t="shared" si="3"/>
        <v/>
      </c>
      <c r="W20" s="2" t="str">
        <f t="shared" si="4"/>
        <v/>
      </c>
      <c r="AA20" s="2" t="str">
        <f t="shared" si="5"/>
        <v/>
      </c>
    </row>
    <row r="21" spans="1:36" hidden="1" x14ac:dyDescent="0.25">
      <c r="B21" t="s">
        <v>64</v>
      </c>
      <c r="C21" t="s">
        <v>65</v>
      </c>
      <c r="D21" s="38"/>
      <c r="E21" s="38"/>
      <c r="F21" s="38"/>
      <c r="G21" s="2" t="str">
        <f t="shared" si="0"/>
        <v/>
      </c>
      <c r="K21" s="2" t="str">
        <f t="shared" si="1"/>
        <v/>
      </c>
      <c r="O21" s="2" t="str">
        <f t="shared" si="2"/>
        <v/>
      </c>
      <c r="S21" s="2" t="str">
        <f t="shared" si="3"/>
        <v/>
      </c>
      <c r="W21" s="2" t="str">
        <f t="shared" si="4"/>
        <v/>
      </c>
      <c r="AA21" s="2" t="str">
        <f t="shared" si="5"/>
        <v/>
      </c>
    </row>
    <row r="22" spans="1:36" hidden="1" x14ac:dyDescent="0.25">
      <c r="C22" t="s">
        <v>66</v>
      </c>
      <c r="D22" s="38"/>
      <c r="E22" s="38"/>
      <c r="F22" s="38"/>
      <c r="G22" s="2" t="str">
        <f t="shared" si="0"/>
        <v/>
      </c>
      <c r="K22" s="2" t="str">
        <f t="shared" si="1"/>
        <v/>
      </c>
      <c r="O22" s="2" t="str">
        <f t="shared" si="2"/>
        <v/>
      </c>
      <c r="S22" s="2" t="str">
        <f t="shared" si="3"/>
        <v/>
      </c>
      <c r="W22" s="2" t="str">
        <f t="shared" si="4"/>
        <v/>
      </c>
      <c r="AA22" s="2" t="str">
        <f t="shared" si="5"/>
        <v/>
      </c>
    </row>
    <row r="23" spans="1:36" hidden="1" x14ac:dyDescent="0.25">
      <c r="B23" t="s">
        <v>67</v>
      </c>
      <c r="C23" t="s">
        <v>68</v>
      </c>
      <c r="D23" s="38"/>
      <c r="E23" s="38"/>
      <c r="F23" s="38"/>
      <c r="G23" s="2" t="str">
        <f t="shared" si="0"/>
        <v/>
      </c>
      <c r="K23" s="2" t="str">
        <f t="shared" si="1"/>
        <v/>
      </c>
      <c r="O23" s="2" t="str">
        <f t="shared" si="2"/>
        <v/>
      </c>
      <c r="S23" s="2" t="str">
        <f t="shared" si="3"/>
        <v/>
      </c>
      <c r="W23" s="2" t="str">
        <f t="shared" si="4"/>
        <v/>
      </c>
      <c r="AA23" s="2" t="str">
        <f t="shared" si="5"/>
        <v/>
      </c>
    </row>
    <row r="24" spans="1:36" x14ac:dyDescent="0.25">
      <c r="C24" t="s">
        <v>69</v>
      </c>
      <c r="D24" s="38"/>
      <c r="E24" s="38"/>
      <c r="F24" s="38"/>
      <c r="G24" s="2" t="str">
        <f>IF(ABS(F24)&gt;2.576,"***",IF(ABS(F24)&gt;1.96,"**",IF(ABS(F24)&gt;1.645,"*","")))</f>
        <v/>
      </c>
      <c r="K24" s="2" t="str">
        <f t="shared" si="1"/>
        <v/>
      </c>
      <c r="O24" s="2" t="str">
        <f>IF(ABS(N24)&gt;2.576,"***",IF(ABS(N24)&gt;1.96,"**",IF(ABS(N24)&gt;1.645,"*","")))</f>
        <v/>
      </c>
      <c r="S24" s="2" t="str">
        <f>IF(ABS(R24)&gt;2.576,"***",IF(ABS(R24)&gt;1.96,"**",IF(ABS(R24)&gt;1.645,"*","")))</f>
        <v/>
      </c>
      <c r="W24" s="2" t="str">
        <f>IF(ABS(V24)&gt;2.576,"***",IF(ABS(V24)&gt;1.96,"**",IF(ABS(V24)&gt;1.645,"*","")))</f>
        <v/>
      </c>
      <c r="AA24" s="2" t="str">
        <f>IF(ABS(Z24)&gt;2.576,"***",IF(ABS(Z24)&gt;1.96,"**",IF(ABS(Z24)&gt;1.645,"*","")))</f>
        <v/>
      </c>
    </row>
    <row r="25" spans="1:36" x14ac:dyDescent="0.25">
      <c r="B25" t="s">
        <v>70</v>
      </c>
      <c r="C25" t="s">
        <v>71</v>
      </c>
      <c r="D25" s="38"/>
      <c r="E25" s="38"/>
      <c r="F25" s="38"/>
      <c r="G25" s="2" t="str">
        <f t="shared" ref="G25:G26" si="6">IF(ABS(F25)&gt;2.576,"***",IF(ABS(F25)&gt;1.96,"**",IF(ABS(F25)&gt;1.645,"*","")))</f>
        <v/>
      </c>
      <c r="K25" s="2" t="str">
        <f t="shared" si="1"/>
        <v/>
      </c>
      <c r="O25" s="2" t="str">
        <f t="shared" ref="O25:O26" si="7">IF(ABS(N25)&gt;2.576,"***",IF(ABS(N25)&gt;1.96,"**",IF(ABS(N25)&gt;1.645,"*","")))</f>
        <v/>
      </c>
      <c r="S25" s="2" t="str">
        <f>IF(ABS(R25)&gt;2.576,"***",IF(ABS(R25)&gt;1.96,"**",IF(ABS(R25)&gt;1.645,"*","")))</f>
        <v/>
      </c>
      <c r="W25" s="2" t="str">
        <f t="shared" ref="W25:W26" si="8">IF(ABS(V25)&gt;2.576,"***",IF(ABS(V25)&gt;1.96,"**",IF(ABS(V25)&gt;1.645,"*","")))</f>
        <v/>
      </c>
      <c r="AA25" s="2" t="str">
        <f t="shared" ref="AA25:AA26" si="9">IF(ABS(Z25)&gt;2.576,"***",IF(ABS(Z25)&gt;1.96,"**",IF(ABS(Z25)&gt;1.645,"*","")))</f>
        <v/>
      </c>
    </row>
    <row r="26" spans="1:36" x14ac:dyDescent="0.25">
      <c r="B26" t="s">
        <v>72</v>
      </c>
      <c r="C26" t="s">
        <v>73</v>
      </c>
      <c r="D26" s="38"/>
      <c r="E26" s="38"/>
      <c r="F26" s="38"/>
      <c r="G26" s="2" t="str">
        <f t="shared" si="6"/>
        <v/>
      </c>
      <c r="K26" s="2" t="str">
        <f t="shared" si="1"/>
        <v/>
      </c>
      <c r="O26" s="2" t="str">
        <f t="shared" si="7"/>
        <v/>
      </c>
      <c r="S26" s="2" t="str">
        <f>IF(ABS(R26)&gt;2.576,"***",IF(ABS(R26)&gt;1.96,"**",IF(ABS(R26)&gt;1.645,"*","")))</f>
        <v/>
      </c>
      <c r="W26" s="2" t="str">
        <f t="shared" si="8"/>
        <v/>
      </c>
      <c r="AA26" s="2" t="str">
        <f t="shared" si="9"/>
        <v/>
      </c>
    </row>
    <row r="28" spans="1:36" ht="49.5" customHeight="1" x14ac:dyDescent="0.25">
      <c r="A28" s="4" t="s">
        <v>74</v>
      </c>
      <c r="AC28" s="42"/>
      <c r="AD28" s="42"/>
      <c r="AE28" s="42"/>
      <c r="AF28" s="42"/>
      <c r="AG28" s="42"/>
      <c r="AH28" s="42"/>
      <c r="AI28" s="42"/>
      <c r="AJ28" s="42"/>
    </row>
    <row r="29" spans="1:36" x14ac:dyDescent="0.25">
      <c r="A29" s="4"/>
      <c r="B29" s="3" t="s">
        <v>26</v>
      </c>
      <c r="C29" t="s">
        <v>27</v>
      </c>
      <c r="D29" s="20"/>
      <c r="E29" s="20"/>
      <c r="F29" s="20"/>
      <c r="G29" s="20"/>
      <c r="H29">
        <v>-2.2141601826928139</v>
      </c>
      <c r="I29">
        <v>0.94568071630137807</v>
      </c>
      <c r="J29">
        <v>-2.3413400998093148</v>
      </c>
      <c r="K29" s="20" t="str">
        <f t="shared" ref="K29:K34" si="10">IF(ABS(J29)&gt;2.576,"***",IF(ABS(J29)&gt;1.96,"**",IF(ABS(J29)&gt;1.645,"*","")))</f>
        <v>**</v>
      </c>
      <c r="L29">
        <v>-14.756558367099741</v>
      </c>
      <c r="M29">
        <v>12.169961664473419</v>
      </c>
      <c r="N29">
        <v>-1.2125394289595111</v>
      </c>
      <c r="P29" s="34">
        <v>-14.315515019879063</v>
      </c>
      <c r="Q29" s="32">
        <v>1.311422414113036</v>
      </c>
      <c r="R29" s="32">
        <v>-10.916021310769789</v>
      </c>
      <c r="S29" s="20" t="str">
        <f>IF(ABS(R29)&gt;2.576,"***",IF(ABS(R29)&gt;1.96,"**",IF(ABS(R29)&gt;1.645,"*","")))</f>
        <v>***</v>
      </c>
      <c r="T29" s="20"/>
      <c r="U29" s="20"/>
      <c r="V29" s="20"/>
      <c r="W29" s="20" t="str">
        <f t="shared" ref="W29:W34" si="11">IF(ABS(V29)&gt;2.576,"***",IF(ABS(V29)&gt;1.96,"**",IF(ABS(V29)&gt;1.645,"*","")))</f>
        <v/>
      </c>
      <c r="X29" s="34">
        <v>-16.245702547411998</v>
      </c>
      <c r="Y29" s="32">
        <v>2.34886479445596</v>
      </c>
      <c r="Z29" s="32">
        <v>-6.916405995677926</v>
      </c>
      <c r="AA29" s="2" t="str">
        <f t="shared" ref="AA29:AA55" si="12">IF(ABS(Z29)&gt;2.576,"***",IF(ABS(Z29)&gt;1.96,"**",IF(ABS(Z29)&gt;1.645,"*","")))</f>
        <v>***</v>
      </c>
    </row>
    <row r="30" spans="1:36" x14ac:dyDescent="0.25">
      <c r="A30" s="4"/>
      <c r="C30" t="s">
        <v>29</v>
      </c>
      <c r="D30" s="20"/>
      <c r="E30" s="20"/>
      <c r="F30" s="20"/>
      <c r="G30" s="20"/>
      <c r="H30">
        <v>-23.044427160878918</v>
      </c>
      <c r="I30">
        <v>2.6847548478344256</v>
      </c>
      <c r="J30">
        <v>-8.5834381412764706</v>
      </c>
      <c r="K30" s="20" t="str">
        <f t="shared" si="10"/>
        <v>***</v>
      </c>
      <c r="L30">
        <v>-50.465345871431857</v>
      </c>
      <c r="M30">
        <v>46.988237584344375</v>
      </c>
      <c r="N30">
        <v>-1.073999546819479</v>
      </c>
      <c r="P30" s="32">
        <v>-12.234198168604545</v>
      </c>
      <c r="Q30" s="32">
        <v>1.2545246903948379</v>
      </c>
      <c r="R30" s="32">
        <v>-9.75205849854901</v>
      </c>
      <c r="S30" s="20" t="str">
        <f t="shared" ref="S30:S34" si="13">IF(ABS(R30)&gt;2.576,"***",IF(ABS(R30)&gt;1.96,"**",IF(ABS(R30)&gt;1.645,"*","")))</f>
        <v>***</v>
      </c>
      <c r="T30" s="20"/>
      <c r="U30" s="20"/>
      <c r="V30" s="20"/>
      <c r="W30" s="20" t="str">
        <f t="shared" si="11"/>
        <v/>
      </c>
      <c r="X30" s="32">
        <v>-51.138632261301439</v>
      </c>
      <c r="Y30" s="32">
        <v>8.0481777368139653</v>
      </c>
      <c r="Z30" s="32">
        <v>-6.3540634828904379</v>
      </c>
      <c r="AA30" s="2" t="str">
        <f t="shared" si="12"/>
        <v>***</v>
      </c>
    </row>
    <row r="31" spans="1:36" x14ac:dyDescent="0.25">
      <c r="A31" s="4"/>
      <c r="B31" s="3" t="s">
        <v>31</v>
      </c>
      <c r="C31" t="s">
        <v>32</v>
      </c>
      <c r="D31" s="20"/>
      <c r="E31" s="20"/>
      <c r="F31" s="20"/>
      <c r="G31" s="20"/>
      <c r="H31">
        <v>-1.9310117565942677</v>
      </c>
      <c r="I31">
        <v>1.0488249632190489</v>
      </c>
      <c r="J31">
        <v>-1.841119180332641</v>
      </c>
      <c r="K31" s="20" t="str">
        <f t="shared" si="10"/>
        <v>*</v>
      </c>
      <c r="L31">
        <v>-30.111962614065064</v>
      </c>
      <c r="M31">
        <v>27.287286921254438</v>
      </c>
      <c r="N31">
        <v>-1.10351617956604</v>
      </c>
      <c r="P31" s="32">
        <v>-18.568374822573176</v>
      </c>
      <c r="Q31" s="32">
        <v>1.7931444601322863</v>
      </c>
      <c r="R31" s="32">
        <v>-10.355202960727061</v>
      </c>
      <c r="S31" s="20" t="str">
        <f t="shared" si="13"/>
        <v>***</v>
      </c>
      <c r="T31" s="20"/>
      <c r="U31" s="20"/>
      <c r="V31" s="20"/>
      <c r="W31" s="20" t="str">
        <f t="shared" si="11"/>
        <v/>
      </c>
      <c r="X31" s="32">
        <v>-20.778697435199959</v>
      </c>
      <c r="Y31" s="32">
        <v>3.1931332539889681</v>
      </c>
      <c r="Z31" s="32">
        <v>-6.5073067054882552</v>
      </c>
      <c r="AA31" s="2" t="str">
        <f t="shared" si="12"/>
        <v>***</v>
      </c>
    </row>
    <row r="32" spans="1:36" x14ac:dyDescent="0.25">
      <c r="A32" s="4"/>
      <c r="C32" t="s">
        <v>34</v>
      </c>
      <c r="D32" s="20"/>
      <c r="E32" s="20"/>
      <c r="F32" s="20"/>
      <c r="G32" s="20"/>
      <c r="H32">
        <v>29.660599828496199</v>
      </c>
      <c r="I32">
        <v>3.3632755702870858</v>
      </c>
      <c r="J32">
        <v>8.8189621125706292</v>
      </c>
      <c r="K32" s="20" t="str">
        <f t="shared" si="10"/>
        <v>***</v>
      </c>
      <c r="L32">
        <v>-59.724832265251997</v>
      </c>
      <c r="M32">
        <v>54.81177623205356</v>
      </c>
      <c r="N32">
        <v>-1.0896350450749539</v>
      </c>
      <c r="P32" s="32">
        <v>-18.731248072655756</v>
      </c>
      <c r="Q32" s="32">
        <v>1.830698054278239</v>
      </c>
      <c r="R32" s="32">
        <v>-10.231751778444229</v>
      </c>
      <c r="S32" s="20" t="str">
        <f t="shared" si="13"/>
        <v>***</v>
      </c>
      <c r="T32" s="20"/>
      <c r="U32" s="20"/>
      <c r="V32" s="20"/>
      <c r="W32" s="20" t="str">
        <f t="shared" si="11"/>
        <v/>
      </c>
      <c r="X32" s="32">
        <v>-52.955388741912877</v>
      </c>
      <c r="Y32" s="32">
        <v>8.4574996917497849</v>
      </c>
      <c r="Z32" s="32">
        <v>-6.2613527250341354</v>
      </c>
      <c r="AA32" s="2" t="str">
        <f t="shared" si="12"/>
        <v>***</v>
      </c>
    </row>
    <row r="33" spans="1:27" x14ac:dyDescent="0.25">
      <c r="A33" s="4"/>
      <c r="B33" s="3" t="s">
        <v>36</v>
      </c>
      <c r="C33" t="s">
        <v>37</v>
      </c>
      <c r="D33" s="20"/>
      <c r="E33" s="20"/>
      <c r="F33" s="20"/>
      <c r="G33" s="20"/>
      <c r="H33">
        <v>-52.439367849248598</v>
      </c>
      <c r="I33">
        <v>5.656463528813898</v>
      </c>
      <c r="J33">
        <v>-9.2706984818559555</v>
      </c>
      <c r="K33" s="20" t="s">
        <v>149</v>
      </c>
      <c r="L33">
        <v>11.859608884326979</v>
      </c>
      <c r="M33">
        <v>19.374963080198839</v>
      </c>
      <c r="N33">
        <v>0.61211001204164717</v>
      </c>
      <c r="P33" s="32">
        <v>-29.90706675385232</v>
      </c>
      <c r="Q33" s="32">
        <v>2.7325537842937457</v>
      </c>
      <c r="R33" s="32">
        <v>-10.9447312348445</v>
      </c>
      <c r="S33" s="20" t="str">
        <f t="shared" si="13"/>
        <v>***</v>
      </c>
      <c r="T33" s="20"/>
      <c r="U33" s="20"/>
      <c r="V33" s="20"/>
      <c r="W33" s="20" t="str">
        <f t="shared" si="11"/>
        <v/>
      </c>
      <c r="X33" s="32">
        <v>-15.893759563778582</v>
      </c>
      <c r="Y33" s="32">
        <v>2.9077161757097043</v>
      </c>
      <c r="Z33" s="32">
        <v>-5.4660629178841003</v>
      </c>
      <c r="AA33" s="2" t="str">
        <f t="shared" si="12"/>
        <v>***</v>
      </c>
    </row>
    <row r="34" spans="1:27" x14ac:dyDescent="0.25">
      <c r="A34" s="4"/>
      <c r="C34" t="s">
        <v>39</v>
      </c>
      <c r="D34" s="20"/>
      <c r="E34" s="20"/>
      <c r="F34" s="20"/>
      <c r="G34" s="20"/>
      <c r="H34">
        <v>-34.740268954130798</v>
      </c>
      <c r="I34">
        <v>3.903428296129912</v>
      </c>
      <c r="J34">
        <v>-8.8999377774082191</v>
      </c>
      <c r="K34" s="20" t="str">
        <f t="shared" si="10"/>
        <v>***</v>
      </c>
      <c r="L34">
        <v>51.601472391988104</v>
      </c>
      <c r="M34">
        <v>48.267130324836963</v>
      </c>
      <c r="N34">
        <v>1.069081009057532</v>
      </c>
      <c r="P34" s="32">
        <v>11.81873575767322</v>
      </c>
      <c r="Q34" s="32">
        <v>1.2662166610850285</v>
      </c>
      <c r="R34" s="32">
        <v>9.3338968921366714</v>
      </c>
      <c r="S34" s="20" t="str">
        <f t="shared" si="13"/>
        <v>***</v>
      </c>
      <c r="T34" s="20"/>
      <c r="U34" s="20"/>
      <c r="V34" s="20"/>
      <c r="W34" s="20" t="str">
        <f t="shared" si="11"/>
        <v/>
      </c>
      <c r="X34" s="32">
        <v>-56.88970038426416</v>
      </c>
      <c r="Y34" s="32">
        <v>9.0684170913125968</v>
      </c>
      <c r="Z34" s="32">
        <v>-6.2733881570978474</v>
      </c>
      <c r="AA34" s="2" t="str">
        <f t="shared" si="12"/>
        <v>***</v>
      </c>
    </row>
    <row r="35" spans="1:27" x14ac:dyDescent="0.25">
      <c r="A35" s="4"/>
      <c r="C35" t="s">
        <v>81</v>
      </c>
      <c r="D35" s="20"/>
      <c r="E35" s="20"/>
      <c r="F35" s="20"/>
      <c r="G35" s="20"/>
      <c r="H35" s="43">
        <v>23.000205521787599</v>
      </c>
      <c r="I35">
        <v>2.6184409581769059</v>
      </c>
      <c r="J35">
        <v>8.7839313122422027</v>
      </c>
      <c r="K35" s="20"/>
      <c r="L35">
        <v>19.9895256587406</v>
      </c>
      <c r="M35">
        <v>18.612731321678197</v>
      </c>
      <c r="N35">
        <v>1.073970569567017</v>
      </c>
      <c r="P35" s="32">
        <v>26.014063512541821</v>
      </c>
      <c r="Q35" s="32">
        <v>2.2908024076960278</v>
      </c>
      <c r="R35" s="32">
        <v>11.35587400517247</v>
      </c>
      <c r="S35" s="20"/>
      <c r="T35" s="20"/>
      <c r="U35" s="20"/>
      <c r="V35" s="20"/>
      <c r="W35" s="20"/>
      <c r="X35" s="32">
        <v>22.71798842445736</v>
      </c>
      <c r="Y35" s="32">
        <v>3.648722606803906</v>
      </c>
      <c r="Z35" s="32">
        <v>6.2262854353724526</v>
      </c>
      <c r="AA35" s="2" t="str">
        <f t="shared" si="12"/>
        <v>***</v>
      </c>
    </row>
    <row r="36" spans="1:27" x14ac:dyDescent="0.25">
      <c r="A36" s="4"/>
      <c r="C36" t="s">
        <v>82</v>
      </c>
      <c r="D36" s="20"/>
      <c r="E36" s="20"/>
      <c r="F36" s="20"/>
      <c r="G36" s="20"/>
      <c r="H36">
        <v>-15.150100559631072</v>
      </c>
      <c r="I36">
        <v>1.0855316183046422</v>
      </c>
      <c r="J36">
        <v>-13.95638809977009</v>
      </c>
      <c r="K36" s="20"/>
      <c r="L36">
        <v>-38.19113035483722</v>
      </c>
      <c r="M36">
        <v>6.6490707018153286</v>
      </c>
      <c r="N36">
        <v>-5.7438297872829498</v>
      </c>
      <c r="P36" s="32">
        <v>-15.38969844581268</v>
      </c>
      <c r="Q36" s="32">
        <v>1.2463787785940985</v>
      </c>
      <c r="R36" s="32">
        <v>-12.34752926648197</v>
      </c>
      <c r="S36" s="20"/>
      <c r="T36" s="20"/>
      <c r="U36" s="20"/>
      <c r="V36" s="20"/>
      <c r="W36" s="20"/>
      <c r="X36" s="32">
        <v>31.017283867794081</v>
      </c>
      <c r="Y36" s="32">
        <v>1.4906488769959669</v>
      </c>
      <c r="Z36" s="32">
        <v>20.80790744652203</v>
      </c>
      <c r="AA36" s="2" t="str">
        <f t="shared" si="12"/>
        <v>***</v>
      </c>
    </row>
    <row r="37" spans="1:27" x14ac:dyDescent="0.25">
      <c r="B37" t="s">
        <v>46</v>
      </c>
      <c r="C37" t="s">
        <v>47</v>
      </c>
      <c r="D37" s="20"/>
      <c r="E37" s="20"/>
      <c r="F37" s="20"/>
      <c r="G37" s="20"/>
      <c r="H37">
        <v>5.0916642128997154</v>
      </c>
      <c r="I37">
        <v>0.8578965871264157</v>
      </c>
      <c r="J37">
        <v>5.9350559138539074</v>
      </c>
      <c r="K37" s="20" t="str">
        <f>IF(ABS(J37)&gt;2.576,"***",IF(ABS(J37)&gt;1.96,"**",IF(ABS(J37)&gt;1.645,"*","")))</f>
        <v>***</v>
      </c>
      <c r="L37">
        <v>10.557960309202763</v>
      </c>
      <c r="M37">
        <v>10.192531505444787</v>
      </c>
      <c r="N37">
        <v>1.0358526047785841</v>
      </c>
      <c r="P37" s="32">
        <v>1.9129849504001484</v>
      </c>
      <c r="Q37" s="32">
        <v>0.49019655869079037</v>
      </c>
      <c r="R37" s="32">
        <v>3.902485475437282</v>
      </c>
      <c r="S37" s="20" t="str">
        <f>IF(ABS(R37)&gt;2.576,"***",IF(ABS(R37)&gt;1.96,"**",IF(ABS(R37)&gt;1.645,"*","")))</f>
        <v>***</v>
      </c>
      <c r="T37" s="20"/>
      <c r="U37" s="20"/>
      <c r="V37" s="20"/>
      <c r="W37" s="20" t="str">
        <f>IF(ABS(V37)&gt;2.576,"***",IF(ABS(V37)&gt;1.96,"**",IF(ABS(V37)&gt;1.645,"*","")))</f>
        <v/>
      </c>
      <c r="X37" s="32">
        <v>8.936864621976472</v>
      </c>
      <c r="Y37" s="32">
        <v>1.5111130421047392</v>
      </c>
      <c r="Z37" s="32">
        <v>5.9140940306681804</v>
      </c>
      <c r="AA37" s="2" t="str">
        <f t="shared" si="12"/>
        <v>***</v>
      </c>
    </row>
    <row r="38" spans="1:27" x14ac:dyDescent="0.25">
      <c r="C38" t="s">
        <v>49</v>
      </c>
      <c r="D38" s="20"/>
      <c r="E38" s="20"/>
      <c r="F38" s="20"/>
      <c r="G38" s="20"/>
      <c r="H38">
        <v>1.5685519064736777</v>
      </c>
      <c r="I38">
        <v>0.8574694252790529</v>
      </c>
      <c r="J38">
        <v>1.8292802754607971</v>
      </c>
      <c r="K38" s="20"/>
      <c r="L38">
        <v>10.47410621091057</v>
      </c>
      <c r="M38">
        <v>9.7948874381343973</v>
      </c>
      <c r="N38">
        <v>1.06934421422055</v>
      </c>
      <c r="P38" s="32">
        <v>2.8079623319429858</v>
      </c>
      <c r="Q38" s="32">
        <v>0.77242347048968041</v>
      </c>
      <c r="R38" s="32">
        <v>3.635262830844419</v>
      </c>
      <c r="S38" s="20"/>
      <c r="T38" s="20"/>
      <c r="U38" s="20"/>
      <c r="V38" s="20"/>
      <c r="W38" s="20"/>
      <c r="X38" s="32">
        <v>2.1973860691048817</v>
      </c>
      <c r="Y38" s="32">
        <v>0.61590575380273282</v>
      </c>
      <c r="Z38" s="32">
        <v>3.5677310295248148</v>
      </c>
      <c r="AA38" s="2" t="str">
        <f t="shared" si="12"/>
        <v>***</v>
      </c>
    </row>
    <row r="39" spans="1:27" x14ac:dyDescent="0.25">
      <c r="B39" t="s">
        <v>51</v>
      </c>
      <c r="C39" t="s">
        <v>52</v>
      </c>
      <c r="D39" s="20"/>
      <c r="E39" s="20"/>
      <c r="F39" s="20"/>
      <c r="G39" s="20"/>
      <c r="H39">
        <v>7.3167827719013054</v>
      </c>
      <c r="I39">
        <v>1.0258920940101266</v>
      </c>
      <c r="J39">
        <v>7.132117319766655</v>
      </c>
      <c r="K39" s="20" t="str">
        <f>IF(ABS(J39)&gt;2.576,"***",IF(ABS(J39)&gt;1.96,"**",IF(ABS(J39)&gt;1.645,"*","")))</f>
        <v>***</v>
      </c>
      <c r="L39">
        <v>27.080254541350701</v>
      </c>
      <c r="M39">
        <v>25.4435599119792</v>
      </c>
      <c r="N39">
        <v>1.0643264792754461</v>
      </c>
      <c r="P39" s="32">
        <v>5.4093058213541401</v>
      </c>
      <c r="Q39" s="32">
        <v>0.65684566733051386</v>
      </c>
      <c r="R39" s="32">
        <v>8.2352767025747422</v>
      </c>
      <c r="S39" s="20" t="str">
        <f>IF(ABS(R39)&gt;2.576,"***",IF(ABS(R39)&gt;1.96,"**",IF(ABS(R39)&gt;1.645,"*","")))</f>
        <v>***</v>
      </c>
      <c r="T39" s="20"/>
      <c r="U39" s="20"/>
      <c r="V39" s="20"/>
      <c r="W39" s="20" t="str">
        <f>IF(ABS(V39)&gt;2.576,"***",IF(ABS(V39)&gt;1.96,"**",IF(ABS(V39)&gt;1.645,"*","")))</f>
        <v/>
      </c>
      <c r="X39" s="32">
        <v>18.472179945562583</v>
      </c>
      <c r="Y39" s="32">
        <v>2.8700487128629897</v>
      </c>
      <c r="Z39" s="32">
        <v>6.4361903903491022</v>
      </c>
      <c r="AA39" s="2" t="str">
        <f t="shared" si="12"/>
        <v>***</v>
      </c>
    </row>
    <row r="40" spans="1:27" x14ac:dyDescent="0.25">
      <c r="C40" t="s">
        <v>54</v>
      </c>
      <c r="D40" s="20"/>
      <c r="E40" s="20"/>
      <c r="F40" s="20"/>
      <c r="G40" s="20"/>
      <c r="H40">
        <v>-7.3130865314637505</v>
      </c>
      <c r="I40">
        <v>0.8885127352660207</v>
      </c>
      <c r="J40">
        <v>-8.2307053587410994</v>
      </c>
      <c r="K40" s="20"/>
      <c r="L40">
        <v>21.758508008584762</v>
      </c>
      <c r="M40">
        <v>20.23234352960646</v>
      </c>
      <c r="N40">
        <v>1.07543191804474</v>
      </c>
      <c r="P40" s="32">
        <v>-7.3187829296249589</v>
      </c>
      <c r="Q40" s="32">
        <v>0.7553090572092338</v>
      </c>
      <c r="R40" s="32">
        <v>-9.689785737068858</v>
      </c>
      <c r="S40" s="20"/>
      <c r="T40" s="20"/>
      <c r="U40" s="20"/>
      <c r="V40" s="20"/>
      <c r="W40" s="20"/>
      <c r="X40" s="32">
        <v>-9.0321027366983238</v>
      </c>
      <c r="Y40" s="32">
        <v>1.5096634180070576</v>
      </c>
      <c r="Z40" s="32">
        <v>-5.9828585822274318</v>
      </c>
      <c r="AA40" s="2" t="str">
        <f t="shared" si="12"/>
        <v>***</v>
      </c>
    </row>
    <row r="41" spans="1:27" x14ac:dyDescent="0.25">
      <c r="B41" t="s">
        <v>55</v>
      </c>
      <c r="C41" t="s">
        <v>56</v>
      </c>
      <c r="D41" s="20"/>
      <c r="E41" s="20"/>
      <c r="F41" s="20"/>
      <c r="G41" s="20"/>
      <c r="H41">
        <v>6.3242586131513558</v>
      </c>
      <c r="I41">
        <v>1.0258240457903232</v>
      </c>
      <c r="J41">
        <v>6.165052027298672</v>
      </c>
      <c r="K41" s="20" t="str">
        <f>IF(ABS(J41)&gt;2.576,"***",IF(ABS(J41)&gt;1.96,"**",IF(ABS(J41)&gt;1.645,"*","")))</f>
        <v>***</v>
      </c>
      <c r="L41">
        <v>14.369204947534548</v>
      </c>
      <c r="M41">
        <v>13.32694865061428</v>
      </c>
      <c r="N41">
        <v>1.078206671627884</v>
      </c>
      <c r="P41" s="32">
        <v>3.690160936646552</v>
      </c>
      <c r="Q41" s="32">
        <v>0.54844414719796719</v>
      </c>
      <c r="R41" s="32">
        <v>6.7284170238661449</v>
      </c>
      <c r="S41" s="20" t="str">
        <f>IF(ABS(R41)&gt;2.576,"***",IF(ABS(R41)&gt;1.96,"**",IF(ABS(R41)&gt;1.645,"*","")))</f>
        <v>***</v>
      </c>
      <c r="T41" s="20"/>
      <c r="U41" s="20"/>
      <c r="V41" s="20"/>
      <c r="W41" s="20" t="str">
        <f>IF(ABS(V41)&gt;2.576,"***",IF(ABS(V41)&gt;1.96,"**",IF(ABS(V41)&gt;1.645,"*","")))</f>
        <v/>
      </c>
      <c r="X41" s="32">
        <v>10.728354994198259</v>
      </c>
      <c r="Y41" s="32">
        <v>1.7394582494790523</v>
      </c>
      <c r="Z41" s="32">
        <v>6.1676415616248788</v>
      </c>
      <c r="AA41" s="2" t="str">
        <f t="shared" si="12"/>
        <v>***</v>
      </c>
    </row>
    <row r="42" spans="1:27" x14ac:dyDescent="0.25">
      <c r="C42" t="s">
        <v>57</v>
      </c>
      <c r="D42" s="20"/>
      <c r="E42" s="20"/>
      <c r="F42" s="20"/>
      <c r="G42" s="20"/>
      <c r="H42">
        <v>-4.8593978632563575</v>
      </c>
      <c r="I42">
        <v>1.2391156292890195</v>
      </c>
      <c r="J42">
        <v>-3.9216661854588879</v>
      </c>
      <c r="K42" s="20"/>
      <c r="L42">
        <v>-8.9277902179130137</v>
      </c>
      <c r="M42">
        <v>8.5655260443729837</v>
      </c>
      <c r="N42">
        <v>-1.0422932779216769</v>
      </c>
      <c r="P42" s="32">
        <v>4.7800402231457113</v>
      </c>
      <c r="Q42" s="32">
        <v>0.72429073410372535</v>
      </c>
      <c r="R42" s="32">
        <v>6.5996153175434156</v>
      </c>
      <c r="S42" s="20"/>
      <c r="T42" s="20"/>
      <c r="U42" s="20"/>
      <c r="V42" s="20"/>
      <c r="W42" s="20"/>
      <c r="X42" s="32">
        <v>-3.3959372670118135</v>
      </c>
      <c r="Y42" s="32">
        <v>0.89169888685997667</v>
      </c>
      <c r="Z42" s="32">
        <v>-3.808390160685573</v>
      </c>
      <c r="AA42" s="2" t="str">
        <f t="shared" si="12"/>
        <v>***</v>
      </c>
    </row>
    <row r="43" spans="1:27" x14ac:dyDescent="0.25">
      <c r="B43" t="s">
        <v>58</v>
      </c>
      <c r="C43" t="s">
        <v>59</v>
      </c>
      <c r="D43" s="20"/>
      <c r="E43" s="20"/>
      <c r="F43" s="20"/>
      <c r="G43" s="20"/>
      <c r="H43">
        <v>4.178504253731596</v>
      </c>
      <c r="I43">
        <v>0.73394869903372828</v>
      </c>
      <c r="J43">
        <v>5.6931829966219132</v>
      </c>
      <c r="K43" s="20" t="str">
        <f>IF(ABS(J43)&gt;2.576,"***",IF(ABS(J43)&gt;1.96,"**",IF(ABS(J43)&gt;1.645,"*","")))</f>
        <v>***</v>
      </c>
      <c r="L43">
        <v>12.767346252924607</v>
      </c>
      <c r="M43">
        <v>12.090594354170552</v>
      </c>
      <c r="N43">
        <v>1.0559734185872029</v>
      </c>
      <c r="P43" s="32">
        <v>2.3873614475589959</v>
      </c>
      <c r="Q43" s="32">
        <v>0.40489280795459082</v>
      </c>
      <c r="R43" s="32">
        <v>5.8962802022078424</v>
      </c>
      <c r="S43" s="20" t="str">
        <f>IF(ABS(R43)&gt;2.576,"***",IF(ABS(R43)&gt;1.96,"**",IF(ABS(R43)&gt;1.645,"*","")))</f>
        <v>***</v>
      </c>
      <c r="T43" s="20"/>
      <c r="U43" s="20"/>
      <c r="V43" s="20"/>
      <c r="W43" s="20" t="str">
        <f>IF(ABS(V43)&gt;2.576,"***",IF(ABS(V43)&gt;1.96,"**",IF(ABS(V43)&gt;1.645,"*","")))</f>
        <v/>
      </c>
      <c r="X43" s="32">
        <v>8.8713034272839266</v>
      </c>
      <c r="Y43" s="32">
        <v>1.4404329176984252</v>
      </c>
      <c r="Z43" s="32">
        <v>6.158775822381795</v>
      </c>
      <c r="AA43" s="2" t="str">
        <f t="shared" si="12"/>
        <v>***</v>
      </c>
    </row>
    <row r="44" spans="1:27" x14ac:dyDescent="0.25">
      <c r="C44" t="s">
        <v>60</v>
      </c>
      <c r="D44" s="20"/>
      <c r="E44" s="20"/>
      <c r="F44" s="20"/>
      <c r="G44" s="20"/>
      <c r="H44">
        <v>6.7294492957999736</v>
      </c>
      <c r="I44">
        <v>0.91019872578140359</v>
      </c>
      <c r="J44">
        <v>7.3933846589630816</v>
      </c>
      <c r="K44" s="20"/>
      <c r="L44">
        <v>-14.352268558452081</v>
      </c>
      <c r="M44">
        <v>13.373850771765996</v>
      </c>
      <c r="N44">
        <v>-1.0731590178014889</v>
      </c>
      <c r="P44" s="32">
        <v>-4.880118307257872</v>
      </c>
      <c r="Q44" s="32">
        <v>0.64156784358684116</v>
      </c>
      <c r="R44" s="32">
        <v>-7.6065506649684682</v>
      </c>
      <c r="S44" s="20"/>
      <c r="T44" s="20"/>
      <c r="U44" s="20"/>
      <c r="V44" s="20"/>
      <c r="W44" s="20"/>
      <c r="X44" s="32">
        <v>8.7982462429579407</v>
      </c>
      <c r="Y44" s="32">
        <v>1.4287674578413383</v>
      </c>
      <c r="Z44" s="32">
        <v>6.1579273762651487</v>
      </c>
      <c r="AA44" s="2" t="str">
        <f t="shared" si="12"/>
        <v>***</v>
      </c>
    </row>
    <row r="45" spans="1:27" x14ac:dyDescent="0.25">
      <c r="B45" t="s">
        <v>61</v>
      </c>
      <c r="C45" t="s">
        <v>62</v>
      </c>
      <c r="D45" s="20"/>
      <c r="E45" s="20"/>
      <c r="F45" s="20"/>
      <c r="G45" s="20"/>
      <c r="H45">
        <v>1.634131520168951</v>
      </c>
      <c r="I45">
        <v>0.56947814576822864</v>
      </c>
      <c r="J45">
        <v>2.8695245503486362</v>
      </c>
      <c r="K45" s="20" t="str">
        <f>IF(ABS(J45)&gt;2.576,"***",IF(ABS(J45)&gt;1.96,"**",IF(ABS(J45)&gt;1.645,"*","")))</f>
        <v>***</v>
      </c>
      <c r="L45">
        <v>6.6277610842505563</v>
      </c>
      <c r="M45">
        <v>6.5213881504179838</v>
      </c>
      <c r="N45">
        <v>1.0163113943502591</v>
      </c>
      <c r="P45" s="32">
        <v>0.57937963000969017</v>
      </c>
      <c r="Q45" s="32">
        <v>0.37908919136301644</v>
      </c>
      <c r="R45" s="32">
        <v>1.528346476792253</v>
      </c>
      <c r="S45" s="20" t="str">
        <f>IF(ABS(R45)&gt;2.576,"***",IF(ABS(R45)&gt;1.96,"**",IF(ABS(R45)&gt;1.645,"*","")))</f>
        <v/>
      </c>
      <c r="T45" s="20"/>
      <c r="U45" s="20"/>
      <c r="V45" s="20"/>
      <c r="W45" s="20" t="str">
        <f>IF(ABS(V45)&gt;2.576,"***",IF(ABS(V45)&gt;1.96,"**",IF(ABS(V45)&gt;1.645,"*","")))</f>
        <v/>
      </c>
      <c r="X45" s="32">
        <v>2.4066457128126242</v>
      </c>
      <c r="Y45" s="32">
        <v>0.56541176016765959</v>
      </c>
      <c r="Z45" s="32">
        <v>4.2564479240739326</v>
      </c>
      <c r="AA45" s="2" t="str">
        <f t="shared" si="12"/>
        <v>***</v>
      </c>
    </row>
    <row r="46" spans="1:27" x14ac:dyDescent="0.25">
      <c r="C46" t="s">
        <v>63</v>
      </c>
      <c r="D46" s="20"/>
      <c r="E46" s="20"/>
      <c r="F46" s="20"/>
      <c r="G46" s="20"/>
      <c r="H46">
        <v>4.1890801056837006</v>
      </c>
      <c r="I46">
        <v>0.7416656382000173</v>
      </c>
      <c r="J46">
        <v>5.6482057276515771</v>
      </c>
      <c r="K46" s="20"/>
      <c r="L46">
        <v>19.803941759566698</v>
      </c>
      <c r="M46">
        <v>18.215088281099085</v>
      </c>
      <c r="N46">
        <v>1.0872273279134359</v>
      </c>
      <c r="P46" s="32">
        <v>-4.3244414529660844</v>
      </c>
      <c r="Q46" s="32">
        <v>0.55334522640358241</v>
      </c>
      <c r="R46" s="32">
        <v>-7.8150876643002842</v>
      </c>
      <c r="S46" s="20"/>
      <c r="T46" s="20"/>
      <c r="U46" s="20"/>
      <c r="V46" s="20"/>
      <c r="W46" s="20"/>
      <c r="X46" s="32">
        <v>-4.8458267742189722</v>
      </c>
      <c r="Y46" s="32">
        <v>0.83857261744760503</v>
      </c>
      <c r="Z46" s="32">
        <v>-5.7786608737218206</v>
      </c>
      <c r="AA46" s="2" t="str">
        <f t="shared" si="12"/>
        <v>***</v>
      </c>
    </row>
    <row r="47" spans="1:27" x14ac:dyDescent="0.25">
      <c r="B47" t="s">
        <v>64</v>
      </c>
      <c r="C47" t="s">
        <v>65</v>
      </c>
      <c r="D47" s="20"/>
      <c r="E47" s="20"/>
      <c r="F47" s="20"/>
      <c r="G47" s="20"/>
      <c r="H47">
        <v>-1.2422826293923726</v>
      </c>
      <c r="I47">
        <v>0.52398678783104868</v>
      </c>
      <c r="J47">
        <v>-2.3708281549131871</v>
      </c>
      <c r="K47" s="20" t="str">
        <f>IF(ABS(J47)&gt;2.576,"***",IF(ABS(J47)&gt;1.96,"**",IF(ABS(J47)&gt;1.645,"*","")))</f>
        <v>**</v>
      </c>
      <c r="L47">
        <v>-16.144107687608113</v>
      </c>
      <c r="M47">
        <v>15.34169922039046</v>
      </c>
      <c r="N47">
        <v>-1.0523024507057981</v>
      </c>
      <c r="P47" s="32">
        <v>-1.7817490830743368</v>
      </c>
      <c r="Q47" s="32">
        <v>0.35725352391341014</v>
      </c>
      <c r="R47" s="32">
        <v>-4.9873520170124088</v>
      </c>
      <c r="S47" s="20" t="str">
        <f>IF(ABS(R47)&gt;2.576,"***",IF(ABS(R47)&gt;1.96,"**",IF(ABS(R47)&gt;1.645,"*","")))</f>
        <v>***</v>
      </c>
      <c r="T47" s="20"/>
      <c r="U47" s="20"/>
      <c r="V47" s="20"/>
      <c r="W47" s="20" t="str">
        <f>IF(ABS(V47)&gt;2.576,"***",IF(ABS(V47)&gt;1.96,"**",IF(ABS(V47)&gt;1.645,"*","")))</f>
        <v/>
      </c>
      <c r="X47" s="32">
        <v>-1.4522588874304865</v>
      </c>
      <c r="Y47" s="32">
        <v>0.49892040885137939</v>
      </c>
      <c r="Z47" s="32">
        <v>-2.9108027285832909</v>
      </c>
      <c r="AA47" s="2" t="str">
        <f t="shared" si="12"/>
        <v>***</v>
      </c>
    </row>
    <row r="48" spans="1:27" x14ac:dyDescent="0.25">
      <c r="C48" t="s">
        <v>66</v>
      </c>
      <c r="D48" s="20"/>
      <c r="E48" s="20"/>
      <c r="F48" s="20"/>
      <c r="G48" s="20"/>
      <c r="H48">
        <v>-7.1798207216928276</v>
      </c>
      <c r="I48">
        <v>1.0162035444273965</v>
      </c>
      <c r="J48">
        <v>-7.0653372162153456</v>
      </c>
      <c r="K48" s="20"/>
      <c r="L48">
        <v>14.127652177249949</v>
      </c>
      <c r="M48">
        <v>13.457581673611582</v>
      </c>
      <c r="N48">
        <v>1.049791301282033</v>
      </c>
      <c r="P48" s="32">
        <v>-4.6680894447871362</v>
      </c>
      <c r="Q48" s="32">
        <v>0.58845696090345967</v>
      </c>
      <c r="R48" s="32">
        <v>-7.9327627251111172</v>
      </c>
      <c r="S48" s="20"/>
      <c r="T48" s="20"/>
      <c r="U48" s="20"/>
      <c r="V48" s="20"/>
      <c r="W48" s="20"/>
      <c r="X48" s="32">
        <v>0.50066619837248494</v>
      </c>
      <c r="Y48" s="32">
        <v>0.63180407027760388</v>
      </c>
      <c r="Z48" s="32">
        <v>0.79243902014195788</v>
      </c>
      <c r="AA48" s="2" t="str">
        <f t="shared" si="12"/>
        <v/>
      </c>
    </row>
    <row r="49" spans="2:38" x14ac:dyDescent="0.25">
      <c r="B49" t="s">
        <v>67</v>
      </c>
      <c r="C49" t="s">
        <v>68</v>
      </c>
      <c r="D49" s="20"/>
      <c r="E49" s="20"/>
      <c r="F49" s="20"/>
      <c r="G49" s="20"/>
      <c r="H49">
        <v>-1.3912257253697711</v>
      </c>
      <c r="I49">
        <v>0.54105823137727815</v>
      </c>
      <c r="J49">
        <v>-2.5713049810338688</v>
      </c>
      <c r="K49" s="20" t="str">
        <f>IF(ABS(J49)&gt;2.576,"***",IF(ABS(J49)&gt;1.96,"**",IF(ABS(J49)&gt;1.645,"*","")))</f>
        <v>**</v>
      </c>
      <c r="L49">
        <v>-15.855907914518117</v>
      </c>
      <c r="M49">
        <v>14.802699431723623</v>
      </c>
      <c r="N49">
        <v>-1.071149758032468</v>
      </c>
      <c r="P49" s="32">
        <v>-1.9628716313335295</v>
      </c>
      <c r="Q49" s="32">
        <v>0.39596055626560517</v>
      </c>
      <c r="R49" s="32">
        <v>-4.9572403116255366</v>
      </c>
      <c r="S49" s="20" t="str">
        <f>IF(ABS(R49)&gt;2.576,"***",IF(ABS(R49)&gt;1.96,"**",IF(ABS(R49)&gt;1.645,"*","")))</f>
        <v>***</v>
      </c>
      <c r="T49" s="20"/>
      <c r="U49" s="20"/>
      <c r="V49" s="20"/>
      <c r="W49" s="20" t="str">
        <f>IF(ABS(V49)&gt;2.576,"***",IF(ABS(V49)&gt;1.96,"**",IF(ABS(V49)&gt;1.645,"*","")))</f>
        <v/>
      </c>
      <c r="X49" s="32">
        <v>-1.9133722828633879</v>
      </c>
      <c r="Y49" s="32">
        <v>0.55355728288316464</v>
      </c>
      <c r="Z49" s="32">
        <v>-3.456502772211254</v>
      </c>
      <c r="AA49" s="2" t="str">
        <f t="shared" si="12"/>
        <v>***</v>
      </c>
    </row>
    <row r="50" spans="2:38" x14ac:dyDescent="0.25">
      <c r="C50" t="s">
        <v>69</v>
      </c>
      <c r="D50" s="20"/>
      <c r="E50" s="20"/>
      <c r="F50" s="20"/>
      <c r="G50" s="20"/>
      <c r="H50">
        <v>-10.336639777908283</v>
      </c>
      <c r="I50">
        <v>1.2078665271140703</v>
      </c>
      <c r="J50">
        <v>-8.5577665626726134</v>
      </c>
      <c r="K50" s="20"/>
      <c r="L50">
        <v>23.32176320156556</v>
      </c>
      <c r="M50">
        <v>22.05898584789372</v>
      </c>
      <c r="N50">
        <v>1.057245485462442</v>
      </c>
      <c r="P50" s="32">
        <v>5.7063224701069206</v>
      </c>
      <c r="Q50" s="32">
        <v>0.60280220735665457</v>
      </c>
      <c r="R50" s="32">
        <v>9.4663264342207523</v>
      </c>
      <c r="S50" s="20"/>
      <c r="T50" s="20"/>
      <c r="U50" s="20"/>
      <c r="V50" s="20"/>
      <c r="W50" s="20"/>
      <c r="X50" s="32">
        <v>5.32769235123145</v>
      </c>
      <c r="Y50" s="32">
        <v>1.0713264457194625</v>
      </c>
      <c r="Z50" s="32">
        <v>4.9729868729727587</v>
      </c>
      <c r="AA50" s="2" t="str">
        <f t="shared" si="12"/>
        <v>***</v>
      </c>
    </row>
    <row r="51" spans="2:38" x14ac:dyDescent="0.25">
      <c r="F51" s="20"/>
      <c r="G51" s="2"/>
      <c r="H51">
        <v>17.597101206087441</v>
      </c>
      <c r="I51">
        <v>1.5722033610466799</v>
      </c>
      <c r="J51">
        <v>11.192636806457619</v>
      </c>
      <c r="K51" s="2"/>
      <c r="L51">
        <v>30.558767249789838</v>
      </c>
      <c r="M51">
        <v>11.309108622357211</v>
      </c>
      <c r="N51">
        <v>2.7021375662956828</v>
      </c>
      <c r="P51" s="32">
        <v>20.415977308205999</v>
      </c>
      <c r="Q51" s="32">
        <v>1.9024572505293924</v>
      </c>
      <c r="R51" s="32">
        <v>10.731372440839291</v>
      </c>
      <c r="S51" s="2"/>
      <c r="U51" s="20"/>
      <c r="W51" s="2"/>
      <c r="X51" s="32">
        <v>13.44217654746898</v>
      </c>
      <c r="Y51" s="32">
        <v>1.5664733817555456</v>
      </c>
      <c r="Z51" s="32">
        <v>8.5811713777123622</v>
      </c>
      <c r="AA51" s="2" t="str">
        <f t="shared" si="12"/>
        <v>***</v>
      </c>
      <c r="AG51" s="7"/>
      <c r="AH51" s="7"/>
      <c r="AI51" s="7"/>
      <c r="AJ51" s="7"/>
    </row>
    <row r="52" spans="2:38" x14ac:dyDescent="0.25">
      <c r="F52" s="20"/>
      <c r="G52" s="2"/>
      <c r="H52">
        <v>19.461919354812814</v>
      </c>
      <c r="I52">
        <v>1.7174879017973717</v>
      </c>
      <c r="J52">
        <v>11.33161947425987</v>
      </c>
      <c r="K52" s="2"/>
      <c r="L52">
        <v>12.286429798939281</v>
      </c>
      <c r="M52">
        <v>5.6373847697115567</v>
      </c>
      <c r="N52">
        <v>2.1794555988002799</v>
      </c>
      <c r="P52" s="32">
        <v>17.516146622427161</v>
      </c>
      <c r="Q52" s="32">
        <v>1.6837097423725342</v>
      </c>
      <c r="R52" s="32">
        <v>10.40330538073918</v>
      </c>
      <c r="S52" s="2"/>
      <c r="U52" s="20"/>
      <c r="W52" s="2"/>
      <c r="X52" s="32">
        <v>15.013138693351459</v>
      </c>
      <c r="Y52" s="32">
        <v>1.7589691882869567</v>
      </c>
      <c r="Z52" s="32">
        <v>8.5351914026263369</v>
      </c>
      <c r="AA52" s="2" t="str">
        <f t="shared" si="12"/>
        <v>***</v>
      </c>
      <c r="AG52" s="7"/>
      <c r="AH52" s="7"/>
      <c r="AI52" s="7"/>
      <c r="AJ52" s="7"/>
    </row>
    <row r="53" spans="2:38" x14ac:dyDescent="0.25">
      <c r="F53" s="20"/>
      <c r="G53" s="2"/>
      <c r="H53">
        <v>-50.225207666555782</v>
      </c>
      <c r="I53">
        <v>7.750180058300816</v>
      </c>
      <c r="J53">
        <v>-6.4805213928884351</v>
      </c>
      <c r="K53" s="2"/>
      <c r="L53">
        <v>26.61616725142672</v>
      </c>
      <c r="M53">
        <v>33.807959807711143</v>
      </c>
      <c r="N53">
        <v>0.7872751684162832</v>
      </c>
      <c r="P53" s="32">
        <v>-15.591551733973247</v>
      </c>
      <c r="Q53" s="32">
        <v>2.571421094245812</v>
      </c>
      <c r="R53" s="32">
        <v>-6.0633988609890404</v>
      </c>
      <c r="S53" s="2"/>
      <c r="U53" s="20"/>
      <c r="W53" s="2"/>
      <c r="X53" s="32">
        <v>0.35194298363341542</v>
      </c>
      <c r="Y53" s="32">
        <v>1.579247735426879</v>
      </c>
      <c r="Z53" s="32">
        <v>0.22285482875065399</v>
      </c>
      <c r="AA53" s="2" t="str">
        <f t="shared" si="12"/>
        <v/>
      </c>
      <c r="AG53" s="7"/>
      <c r="AH53" s="7"/>
      <c r="AI53" s="7"/>
      <c r="AJ53" s="7"/>
    </row>
    <row r="54" spans="2:38" x14ac:dyDescent="0.25">
      <c r="F54" s="20"/>
      <c r="G54" s="2"/>
      <c r="H54">
        <v>-50.508356092654324</v>
      </c>
      <c r="I54">
        <v>8.3321582149458795</v>
      </c>
      <c r="J54">
        <v>-6.0618575391492842</v>
      </c>
      <c r="K54" s="2"/>
      <c r="L54">
        <v>41.971571498392038</v>
      </c>
      <c r="M54">
        <v>47.560256440331202</v>
      </c>
      <c r="N54">
        <v>0.88249253977529152</v>
      </c>
      <c r="P54" s="32">
        <v>-11.338691931279135</v>
      </c>
      <c r="Q54" s="32">
        <v>2.7209007098707785</v>
      </c>
      <c r="R54" s="32">
        <v>-4.1672567801335312</v>
      </c>
      <c r="S54" s="2"/>
      <c r="U54" s="20"/>
      <c r="W54" s="2"/>
      <c r="X54" s="32">
        <v>4.8849378714213678</v>
      </c>
      <c r="Y54" s="32">
        <v>1.4068154081471065</v>
      </c>
      <c r="Z54" s="32">
        <v>3.4723374816140522</v>
      </c>
      <c r="AA54" s="2" t="str">
        <f t="shared" si="12"/>
        <v>***</v>
      </c>
      <c r="AG54" s="7"/>
      <c r="AH54" s="7"/>
      <c r="AI54" s="7"/>
      <c r="AJ54" s="7"/>
    </row>
    <row r="55" spans="2:38" x14ac:dyDescent="0.25">
      <c r="F55" s="20"/>
      <c r="G55" s="2"/>
      <c r="H55">
        <v>-0.2831484260985454</v>
      </c>
      <c r="I55">
        <v>2.290376982773962</v>
      </c>
      <c r="J55">
        <v>-0.1236252495672628</v>
      </c>
      <c r="K55" s="2"/>
      <c r="L55">
        <v>15.355404246965321</v>
      </c>
      <c r="M55">
        <v>13.819704645739797</v>
      </c>
      <c r="N55">
        <v>1.111123908983028</v>
      </c>
      <c r="P55" s="32">
        <v>4.2528598026941138</v>
      </c>
      <c r="Q55" s="32">
        <v>1.1055852433769227</v>
      </c>
      <c r="R55" s="32">
        <v>3.84670456499952</v>
      </c>
      <c r="S55" s="2"/>
      <c r="U55" s="20"/>
      <c r="W55" s="2"/>
      <c r="X55" s="32">
        <v>4.5329948877879538</v>
      </c>
      <c r="Y55" s="32">
        <v>0.78880607650894885</v>
      </c>
      <c r="Z55" s="32">
        <v>5.7466531037004867</v>
      </c>
      <c r="AA55" s="2" t="str">
        <f t="shared" si="12"/>
        <v>***</v>
      </c>
      <c r="AG55" s="7"/>
      <c r="AH55" s="7"/>
      <c r="AI55" s="7"/>
      <c r="AJ55" s="7"/>
    </row>
    <row r="56" spans="2:38" x14ac:dyDescent="0.25">
      <c r="G56" s="2" t="str">
        <f t="shared" ref="G56" si="14">IF(ABS(F56)&gt;2.576,"***",IF(ABS(F56)&gt;1.96,"**",IF(ABS(F56)&gt;1.645,"*","")))</f>
        <v/>
      </c>
      <c r="K56" s="2" t="str">
        <f t="shared" ref="K56" si="15">IF(ABS(J56)&gt;2.576,"***",IF(ABS(J56)&gt;1.96,"**",IF(ABS(J56)&gt;1.645,"*","")))</f>
        <v/>
      </c>
      <c r="L56" s="2"/>
      <c r="M56" s="2"/>
      <c r="N56" s="2"/>
      <c r="O56" s="2"/>
      <c r="P56" s="2"/>
      <c r="Q56" s="2"/>
      <c r="R56" s="2"/>
      <c r="S56" s="2"/>
      <c r="W56" s="2" t="str">
        <f t="shared" ref="W56" si="16">IF(ABS(V56)&gt;2.576,"***",IF(ABS(V56)&gt;1.96,"**",IF(ABS(V56)&gt;1.645,"*","")))</f>
        <v/>
      </c>
      <c r="AA56" s="2" t="str">
        <f t="shared" ref="AA56" si="17">IF(ABS(Z56)&gt;2.576,"***",IF(ABS(Z56)&gt;1.96,"**",IF(ABS(Z56)&gt;1.645,"*","")))</f>
        <v/>
      </c>
    </row>
    <row r="57" spans="2:38" ht="15.75" thickBot="1" x14ac:dyDescent="0.3"/>
    <row r="58" spans="2:38" x14ac:dyDescent="0.25">
      <c r="F58" s="36" t="s">
        <v>96</v>
      </c>
      <c r="G58" s="5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3"/>
    </row>
    <row r="59" spans="2:38" x14ac:dyDescent="0.25">
      <c r="C59" s="2"/>
      <c r="F59" s="6"/>
      <c r="G59" s="6"/>
      <c r="H59" t="s">
        <v>97</v>
      </c>
      <c r="I59" t="s">
        <v>97</v>
      </c>
      <c r="J59" t="s">
        <v>98</v>
      </c>
      <c r="K59" t="s">
        <v>97</v>
      </c>
      <c r="L59" t="s">
        <v>22</v>
      </c>
      <c r="M59" t="s">
        <v>22</v>
      </c>
      <c r="N59" t="s">
        <v>22</v>
      </c>
      <c r="O59" t="s">
        <v>22</v>
      </c>
      <c r="P59" t="s">
        <v>99</v>
      </c>
      <c r="Q59" t="s">
        <v>99</v>
      </c>
      <c r="R59" t="s">
        <v>99</v>
      </c>
      <c r="S59" t="s">
        <v>99</v>
      </c>
      <c r="AB59" s="14"/>
    </row>
    <row r="60" spans="2:38" x14ac:dyDescent="0.25">
      <c r="C60" s="2"/>
      <c r="F60" s="6" t="s">
        <v>100</v>
      </c>
      <c r="G60" s="6" t="s">
        <v>101</v>
      </c>
      <c r="H60" t="s">
        <v>102</v>
      </c>
      <c r="I60" t="s">
        <v>103</v>
      </c>
      <c r="J60" t="s">
        <v>104</v>
      </c>
      <c r="K60" t="s">
        <v>17</v>
      </c>
      <c r="L60" t="s">
        <v>102</v>
      </c>
      <c r="M60" t="s">
        <v>103</v>
      </c>
      <c r="N60" t="s">
        <v>104</v>
      </c>
      <c r="O60" t="s">
        <v>17</v>
      </c>
      <c r="P60" t="s">
        <v>102</v>
      </c>
      <c r="Q60" t="s">
        <v>103</v>
      </c>
      <c r="R60" t="s">
        <v>104</v>
      </c>
      <c r="S60" t="s">
        <v>17</v>
      </c>
      <c r="X60" s="25" t="s">
        <v>105</v>
      </c>
    </row>
    <row r="61" spans="2:38" x14ac:dyDescent="0.25">
      <c r="C61" s="2"/>
      <c r="F61" s="6">
        <v>1</v>
      </c>
      <c r="G61" s="24" t="s">
        <v>106</v>
      </c>
      <c r="H61" s="15">
        <f>H29</f>
        <v>-2.2141601826928139</v>
      </c>
      <c r="I61" s="15">
        <f>L29</f>
        <v>-14.756558367099741</v>
      </c>
      <c r="J61" s="15">
        <f>P29</f>
        <v>-14.315515019879063</v>
      </c>
      <c r="K61" s="15">
        <f>X29</f>
        <v>-16.245702547411998</v>
      </c>
      <c r="L61" s="15">
        <f>I29</f>
        <v>0.94568071630137807</v>
      </c>
      <c r="M61" s="15">
        <f>M29</f>
        <v>12.169961664473419</v>
      </c>
      <c r="N61" s="15">
        <f>Q29</f>
        <v>1.311422414113036</v>
      </c>
      <c r="O61" s="15">
        <f>Y29</f>
        <v>2.34886479445596</v>
      </c>
      <c r="P61" s="15">
        <f>ABS(H30)</f>
        <v>23.044427160878918</v>
      </c>
      <c r="Q61" s="15">
        <f>ABS(L30)</f>
        <v>50.465345871431857</v>
      </c>
      <c r="R61" s="15">
        <f>ABS(P30)</f>
        <v>12.234198168604545</v>
      </c>
      <c r="S61" s="15">
        <f>ABS(X30)</f>
        <v>51.138632261301439</v>
      </c>
      <c r="W61" s="15"/>
      <c r="X61" s="15">
        <f>H61</f>
        <v>-2.2141601826928139</v>
      </c>
      <c r="Y61" s="15">
        <f>I61</f>
        <v>-14.756558367099741</v>
      </c>
      <c r="Z61" s="15">
        <f>J61</f>
        <v>-14.315515019879063</v>
      </c>
      <c r="AA61" s="15">
        <f>K61</f>
        <v>-16.245702547411998</v>
      </c>
      <c r="AB61" s="15">
        <f t="shared" ref="AB61:AE61" si="18">L61</f>
        <v>0.94568071630137807</v>
      </c>
      <c r="AC61" s="15">
        <f t="shared" si="18"/>
        <v>12.169961664473419</v>
      </c>
      <c r="AD61" s="15">
        <f t="shared" si="18"/>
        <v>1.311422414113036</v>
      </c>
      <c r="AE61" s="15">
        <f t="shared" si="18"/>
        <v>2.34886479445596</v>
      </c>
      <c r="AF61" s="15">
        <f>P61</f>
        <v>23.044427160878918</v>
      </c>
      <c r="AG61" s="15">
        <f>Q61</f>
        <v>50.465345871431857</v>
      </c>
      <c r="AH61" s="15">
        <f>R61</f>
        <v>12.234198168604545</v>
      </c>
      <c r="AI61" s="15">
        <f>S61</f>
        <v>51.138632261301439</v>
      </c>
      <c r="AJ61" s="15"/>
      <c r="AK61" s="15"/>
      <c r="AL61" s="15"/>
    </row>
    <row r="62" spans="2:38" x14ac:dyDescent="0.25">
      <c r="C62" s="2"/>
      <c r="F62" s="6">
        <v>1</v>
      </c>
      <c r="G62" s="24" t="s">
        <v>107</v>
      </c>
      <c r="H62" s="15">
        <f>H31</f>
        <v>-1.9310117565942677</v>
      </c>
      <c r="I62" s="15">
        <f>L31</f>
        <v>-30.111962614065064</v>
      </c>
      <c r="J62" s="15">
        <f>P31</f>
        <v>-18.568374822573176</v>
      </c>
      <c r="K62" s="15">
        <f>X31</f>
        <v>-20.778697435199959</v>
      </c>
      <c r="L62" s="15">
        <f>I31</f>
        <v>1.0488249632190489</v>
      </c>
      <c r="M62" s="15">
        <f>M31</f>
        <v>27.287286921254438</v>
      </c>
      <c r="N62" s="15">
        <f>Q31</f>
        <v>1.7931444601322863</v>
      </c>
      <c r="O62" s="15">
        <f>Y31</f>
        <v>3.1931332539889681</v>
      </c>
      <c r="P62" s="15">
        <f xml:space="preserve"> ABS(H32)</f>
        <v>29.660599828496199</v>
      </c>
      <c r="Q62" s="15">
        <f>ABS(L32)</f>
        <v>59.724832265251997</v>
      </c>
      <c r="R62" s="15">
        <f>ABS(P32)</f>
        <v>18.731248072655756</v>
      </c>
      <c r="S62" s="15">
        <f>ABS(X32)</f>
        <v>52.955388741912877</v>
      </c>
      <c r="X62" t="str">
        <f t="shared" ref="X62:AA69" si="19">_xlfn.CONCAT(X61,", ",H62)</f>
        <v>-2.21416018269281, -1.93101175659427</v>
      </c>
      <c r="Y62" t="str">
        <f t="shared" si="19"/>
        <v>-14.7565583670997, -30.1119626140651</v>
      </c>
      <c r="Z62" t="str">
        <f t="shared" si="19"/>
        <v>-14.3155150198791, -18.5683748225732</v>
      </c>
      <c r="AA62" t="str">
        <f t="shared" si="19"/>
        <v>-16.245702547412, -20.7786974352</v>
      </c>
      <c r="AB62" t="str">
        <f t="shared" ref="AB62:AE69" si="20">_xlfn.CONCAT(AB61,", ",L62)</f>
        <v>0.945680716301378, 1.04882496321905</v>
      </c>
      <c r="AC62" t="str">
        <f t="shared" si="20"/>
        <v>12.1699616644734, 27.2872869212544</v>
      </c>
      <c r="AD62" t="str">
        <f t="shared" si="20"/>
        <v>1.31142241411304, 1.79314446013229</v>
      </c>
      <c r="AE62" t="str">
        <f t="shared" si="20"/>
        <v>2.34886479445596, 3.19313325398897</v>
      </c>
      <c r="AF62" t="str">
        <f t="shared" ref="AF62:AI69" si="21">_xlfn.CONCAT(AF61,", ",P62)</f>
        <v>23.0444271608789, 29.6605998284962</v>
      </c>
      <c r="AG62" t="str">
        <f t="shared" si="21"/>
        <v>50.4653458714319, 59.724832265252</v>
      </c>
      <c r="AH62" t="str">
        <f t="shared" si="21"/>
        <v>12.2341981686045, 18.7312480726558</v>
      </c>
      <c r="AI62" t="str">
        <f t="shared" si="21"/>
        <v>51.1386322613014, 52.9553887419129</v>
      </c>
    </row>
    <row r="63" spans="2:38" x14ac:dyDescent="0.25">
      <c r="C63" s="2"/>
      <c r="F63" s="6">
        <v>1</v>
      </c>
      <c r="G63" s="24" t="s">
        <v>108</v>
      </c>
      <c r="H63" s="15">
        <f>H33</f>
        <v>-52.439367849248598</v>
      </c>
      <c r="I63" s="15">
        <f>L33</f>
        <v>11.859608884326979</v>
      </c>
      <c r="J63" s="15">
        <f>P33</f>
        <v>-29.90706675385232</v>
      </c>
      <c r="K63" s="15">
        <f>X33</f>
        <v>-15.893759563778582</v>
      </c>
      <c r="L63" s="15">
        <f>I33</f>
        <v>5.656463528813898</v>
      </c>
      <c r="M63" s="15">
        <f>M33</f>
        <v>19.374963080198839</v>
      </c>
      <c r="N63" s="15">
        <f>Q33</f>
        <v>2.7325537842937457</v>
      </c>
      <c r="O63" s="15">
        <f>Y33</f>
        <v>2.9077161757097043</v>
      </c>
      <c r="P63" s="15">
        <f>ABS(H34)</f>
        <v>34.740268954130798</v>
      </c>
      <c r="Q63" s="15">
        <f>ABS(L34)</f>
        <v>51.601472391988104</v>
      </c>
      <c r="R63" s="15">
        <f>ABS(P34)</f>
        <v>11.81873575767322</v>
      </c>
      <c r="S63" s="15">
        <f>ABS(X34)</f>
        <v>56.88970038426416</v>
      </c>
      <c r="X63" t="str">
        <f t="shared" si="19"/>
        <v>-2.21416018269281, -1.93101175659427, -52.4393678492486</v>
      </c>
      <c r="Y63" t="str">
        <f t="shared" si="19"/>
        <v>-14.7565583670997, -30.1119626140651, 11.859608884327</v>
      </c>
      <c r="Z63" t="str">
        <f t="shared" si="19"/>
        <v>-14.3155150198791, -18.5683748225732, -29.9070667538523</v>
      </c>
      <c r="AA63" t="str">
        <f t="shared" si="19"/>
        <v>-16.245702547412, -20.7786974352, -15.8937595637786</v>
      </c>
      <c r="AB63" t="str">
        <f t="shared" si="20"/>
        <v>0.945680716301378, 1.04882496321905, 5.6564635288139</v>
      </c>
      <c r="AC63" t="str">
        <f t="shared" si="20"/>
        <v>12.1699616644734, 27.2872869212544, 19.3749630801988</v>
      </c>
      <c r="AD63" t="str">
        <f t="shared" si="20"/>
        <v>1.31142241411304, 1.79314446013229, 2.73255378429375</v>
      </c>
      <c r="AE63" t="str">
        <f t="shared" si="20"/>
        <v>2.34886479445596, 3.19313325398897, 2.9077161757097</v>
      </c>
      <c r="AF63" t="str">
        <f t="shared" si="21"/>
        <v>23.0444271608789, 29.6605998284962, 34.7402689541308</v>
      </c>
      <c r="AG63" t="str">
        <f t="shared" si="21"/>
        <v>50.4653458714319, 59.724832265252, 51.6014723919881</v>
      </c>
      <c r="AH63" t="str">
        <f t="shared" si="21"/>
        <v>12.2341981686045, 18.7312480726558, 11.8187357576732</v>
      </c>
      <c r="AI63" t="str">
        <f t="shared" si="21"/>
        <v>51.1386322613014, 52.9553887419129, 56.8897003842642</v>
      </c>
    </row>
    <row r="64" spans="2:38" x14ac:dyDescent="0.25">
      <c r="C64" s="2"/>
      <c r="F64" s="6">
        <v>2</v>
      </c>
      <c r="G64" s="6" t="s">
        <v>109</v>
      </c>
      <c r="H64" s="15">
        <f>H37</f>
        <v>5.0916642128997154</v>
      </c>
      <c r="I64" s="15">
        <f>L37</f>
        <v>10.557960309202763</v>
      </c>
      <c r="J64" s="15">
        <f>P37</f>
        <v>1.9129849504001484</v>
      </c>
      <c r="K64" s="15">
        <f>X37</f>
        <v>8.936864621976472</v>
      </c>
      <c r="L64" s="15">
        <f>I37</f>
        <v>0.8578965871264157</v>
      </c>
      <c r="M64" s="15">
        <f>M37</f>
        <v>10.192531505444787</v>
      </c>
      <c r="N64" s="15">
        <f>Q37</f>
        <v>0.49019655869079037</v>
      </c>
      <c r="O64" s="15">
        <f>Y37</f>
        <v>1.5111130421047392</v>
      </c>
      <c r="P64" s="15">
        <f>ABS(H38)</f>
        <v>1.5685519064736777</v>
      </c>
      <c r="Q64" s="15">
        <f>ABS(L38)</f>
        <v>10.47410621091057</v>
      </c>
      <c r="R64" s="15">
        <f>ABS(P38)</f>
        <v>2.8079623319429858</v>
      </c>
      <c r="S64" s="15">
        <f>ABS(X38)</f>
        <v>2.1973860691048817</v>
      </c>
      <c r="X64" t="str">
        <f t="shared" si="19"/>
        <v>-2.21416018269281, -1.93101175659427, -52.4393678492486, 5.09166421289972</v>
      </c>
      <c r="Y64" t="str">
        <f t="shared" si="19"/>
        <v>-14.7565583670997, -30.1119626140651, 11.859608884327, 10.5579603092028</v>
      </c>
      <c r="Z64" t="str">
        <f t="shared" si="19"/>
        <v>-14.3155150198791, -18.5683748225732, -29.9070667538523, 1.91298495040015</v>
      </c>
      <c r="AA64" t="str">
        <f t="shared" si="19"/>
        <v>-16.245702547412, -20.7786974352, -15.8937595637786, 8.93686462197647</v>
      </c>
      <c r="AB64" t="str">
        <f t="shared" si="20"/>
        <v>0.945680716301378, 1.04882496321905, 5.6564635288139, 0.857896587126416</v>
      </c>
      <c r="AC64" t="str">
        <f t="shared" si="20"/>
        <v>12.1699616644734, 27.2872869212544, 19.3749630801988, 10.1925315054448</v>
      </c>
      <c r="AD64" t="str">
        <f t="shared" si="20"/>
        <v>1.31142241411304, 1.79314446013229, 2.73255378429375, 0.49019655869079</v>
      </c>
      <c r="AE64" t="str">
        <f t="shared" si="20"/>
        <v>2.34886479445596, 3.19313325398897, 2.9077161757097, 1.51111304210474</v>
      </c>
      <c r="AF64" t="str">
        <f t="shared" si="21"/>
        <v>23.0444271608789, 29.6605998284962, 34.7402689541308, 1.56855190647368</v>
      </c>
      <c r="AG64" t="str">
        <f t="shared" si="21"/>
        <v>50.4653458714319, 59.724832265252, 51.6014723919881, 10.4741062109106</v>
      </c>
      <c r="AH64" t="str">
        <f t="shared" si="21"/>
        <v>12.2341981686045, 18.7312480726558, 11.8187357576732, 2.80796233194299</v>
      </c>
      <c r="AI64" t="str">
        <f t="shared" si="21"/>
        <v>51.1386322613014, 52.9553887419129, 56.8897003842642, 2.19738606910488</v>
      </c>
    </row>
    <row r="65" spans="3:35" x14ac:dyDescent="0.25">
      <c r="C65" s="2"/>
      <c r="F65" s="6">
        <v>2</v>
      </c>
      <c r="G65" s="6" t="s">
        <v>110</v>
      </c>
      <c r="H65" s="15">
        <f>H39</f>
        <v>7.3167827719013054</v>
      </c>
      <c r="I65" s="15">
        <f>L39</f>
        <v>27.080254541350701</v>
      </c>
      <c r="J65" s="15">
        <f>P39</f>
        <v>5.4093058213541401</v>
      </c>
      <c r="K65" s="15">
        <f>X39</f>
        <v>18.472179945562583</v>
      </c>
      <c r="L65" s="15">
        <f>I39</f>
        <v>1.0258920940101266</v>
      </c>
      <c r="M65" s="15">
        <f>M39</f>
        <v>25.4435599119792</v>
      </c>
      <c r="N65" s="15">
        <f>Q39</f>
        <v>0.65684566733051386</v>
      </c>
      <c r="O65" s="15">
        <f>Y39</f>
        <v>2.8700487128629897</v>
      </c>
      <c r="P65" s="15">
        <f>ABS(H40)</f>
        <v>7.3130865314637505</v>
      </c>
      <c r="Q65" s="15">
        <f>ABS(L40)</f>
        <v>21.758508008584762</v>
      </c>
      <c r="R65" s="15">
        <f>ABS(P40)</f>
        <v>7.3187829296249589</v>
      </c>
      <c r="S65" s="15">
        <f>ABS(X40)</f>
        <v>9.0321027366983238</v>
      </c>
      <c r="X65" t="str">
        <f t="shared" si="19"/>
        <v>-2.21416018269281, -1.93101175659427, -52.4393678492486, 5.09166421289972, 7.31678277190131</v>
      </c>
      <c r="Y65" t="str">
        <f t="shared" si="19"/>
        <v>-14.7565583670997, -30.1119626140651, 11.859608884327, 10.5579603092028, 27.0802545413507</v>
      </c>
      <c r="Z65" t="str">
        <f t="shared" si="19"/>
        <v>-14.3155150198791, -18.5683748225732, -29.9070667538523, 1.91298495040015, 5.40930582135414</v>
      </c>
      <c r="AA65" t="str">
        <f t="shared" si="19"/>
        <v>-16.245702547412, -20.7786974352, -15.8937595637786, 8.93686462197647, 18.4721799455626</v>
      </c>
      <c r="AB65" t="str">
        <f t="shared" si="20"/>
        <v>0.945680716301378, 1.04882496321905, 5.6564635288139, 0.857896587126416, 1.02589209401013</v>
      </c>
      <c r="AC65" t="str">
        <f t="shared" si="20"/>
        <v>12.1699616644734, 27.2872869212544, 19.3749630801988, 10.1925315054448, 25.4435599119792</v>
      </c>
      <c r="AD65" t="str">
        <f t="shared" si="20"/>
        <v>1.31142241411304, 1.79314446013229, 2.73255378429375, 0.49019655869079, 0.656845667330514</v>
      </c>
      <c r="AE65" t="str">
        <f t="shared" si="20"/>
        <v>2.34886479445596, 3.19313325398897, 2.9077161757097, 1.51111304210474, 2.87004871286299</v>
      </c>
      <c r="AF65" t="str">
        <f t="shared" si="21"/>
        <v>23.0444271608789, 29.6605998284962, 34.7402689541308, 1.56855190647368, 7.31308653146375</v>
      </c>
      <c r="AG65" t="str">
        <f t="shared" si="21"/>
        <v>50.4653458714319, 59.724832265252, 51.6014723919881, 10.4741062109106, 21.7585080085848</v>
      </c>
      <c r="AH65" t="str">
        <f t="shared" si="21"/>
        <v>12.2341981686045, 18.7312480726558, 11.8187357576732, 2.80796233194299, 7.31878292962496</v>
      </c>
      <c r="AI65" t="str">
        <f t="shared" si="21"/>
        <v>51.1386322613014, 52.9553887419129, 56.8897003842642, 2.19738606910488, 9.03210273669832</v>
      </c>
    </row>
    <row r="66" spans="3:35" x14ac:dyDescent="0.25">
      <c r="C66" s="2"/>
      <c r="F66" s="6">
        <v>2</v>
      </c>
      <c r="G66" s="6" t="s">
        <v>111</v>
      </c>
      <c r="H66" s="15">
        <f>H41</f>
        <v>6.3242586131513558</v>
      </c>
      <c r="I66" s="15">
        <f>L41</f>
        <v>14.369204947534548</v>
      </c>
      <c r="J66" s="15">
        <f>P41</f>
        <v>3.690160936646552</v>
      </c>
      <c r="K66" s="15">
        <f>X41</f>
        <v>10.728354994198259</v>
      </c>
      <c r="L66" s="15">
        <f>I41</f>
        <v>1.0258240457903232</v>
      </c>
      <c r="M66" s="15">
        <f>M41</f>
        <v>13.32694865061428</v>
      </c>
      <c r="N66" s="15">
        <f>Q41</f>
        <v>0.54844414719796719</v>
      </c>
      <c r="O66" s="15">
        <f>Y41</f>
        <v>1.7394582494790523</v>
      </c>
      <c r="P66" s="15">
        <f>ABS(H42)</f>
        <v>4.8593978632563575</v>
      </c>
      <c r="Q66" s="15">
        <f>ABS(L42)</f>
        <v>8.9277902179130137</v>
      </c>
      <c r="R66" s="15">
        <f>ABS(P42)</f>
        <v>4.7800402231457113</v>
      </c>
      <c r="S66" s="15">
        <f>ABS(X42)</f>
        <v>3.3959372670118135</v>
      </c>
      <c r="X66" t="str">
        <f t="shared" si="19"/>
        <v>-2.21416018269281, -1.93101175659427, -52.4393678492486, 5.09166421289972, 7.31678277190131, 6.32425861315136</v>
      </c>
      <c r="Y66" t="str">
        <f t="shared" si="19"/>
        <v>-14.7565583670997, -30.1119626140651, 11.859608884327, 10.5579603092028, 27.0802545413507, 14.3692049475345</v>
      </c>
      <c r="Z66" t="str">
        <f t="shared" si="19"/>
        <v>-14.3155150198791, -18.5683748225732, -29.9070667538523, 1.91298495040015, 5.40930582135414, 3.69016093664655</v>
      </c>
      <c r="AA66" t="str">
        <f t="shared" si="19"/>
        <v>-16.245702547412, -20.7786974352, -15.8937595637786, 8.93686462197647, 18.4721799455626, 10.7283549941983</v>
      </c>
      <c r="AB66" t="str">
        <f t="shared" si="20"/>
        <v>0.945680716301378, 1.04882496321905, 5.6564635288139, 0.857896587126416, 1.02589209401013, 1.02582404579032</v>
      </c>
      <c r="AC66" t="str">
        <f t="shared" si="20"/>
        <v>12.1699616644734, 27.2872869212544, 19.3749630801988, 10.1925315054448, 25.4435599119792, 13.3269486506143</v>
      </c>
      <c r="AD66" t="str">
        <f t="shared" si="20"/>
        <v>1.31142241411304, 1.79314446013229, 2.73255378429375, 0.49019655869079, 0.656845667330514, 0.548444147197967</v>
      </c>
      <c r="AE66" t="str">
        <f t="shared" si="20"/>
        <v>2.34886479445596, 3.19313325398897, 2.9077161757097, 1.51111304210474, 2.87004871286299, 1.73945824947905</v>
      </c>
      <c r="AF66" t="str">
        <f t="shared" si="21"/>
        <v>23.0444271608789, 29.6605998284962, 34.7402689541308, 1.56855190647368, 7.31308653146375, 4.85939786325636</v>
      </c>
      <c r="AG66" t="str">
        <f t="shared" si="21"/>
        <v>50.4653458714319, 59.724832265252, 51.6014723919881, 10.4741062109106, 21.7585080085848, 8.92779021791301</v>
      </c>
      <c r="AH66" t="str">
        <f t="shared" si="21"/>
        <v>12.2341981686045, 18.7312480726558, 11.8187357576732, 2.80796233194299, 7.31878292962496, 4.78004022314571</v>
      </c>
      <c r="AI66" t="str">
        <f t="shared" si="21"/>
        <v>51.1386322613014, 52.9553887419129, 56.8897003842642, 2.19738606910488, 9.03210273669832, 3.39593726701181</v>
      </c>
    </row>
    <row r="67" spans="3:35" x14ac:dyDescent="0.25">
      <c r="C67" s="2"/>
      <c r="F67" s="6">
        <v>3</v>
      </c>
      <c r="G67" s="6" t="s">
        <v>58</v>
      </c>
      <c r="H67" s="15">
        <f>H43</f>
        <v>4.178504253731596</v>
      </c>
      <c r="I67" s="15">
        <f>L43</f>
        <v>12.767346252924607</v>
      </c>
      <c r="J67" s="15">
        <f>P43</f>
        <v>2.3873614475589959</v>
      </c>
      <c r="K67" s="15">
        <f>X43</f>
        <v>8.8713034272839266</v>
      </c>
      <c r="L67" s="15">
        <f>I43</f>
        <v>0.73394869903372828</v>
      </c>
      <c r="M67" s="15">
        <f>M43</f>
        <v>12.090594354170552</v>
      </c>
      <c r="N67" s="15">
        <f>Q43</f>
        <v>0.40489280795459082</v>
      </c>
      <c r="O67" s="15">
        <f>Y43</f>
        <v>1.4404329176984252</v>
      </c>
      <c r="P67" s="15">
        <f>ABS(H44)</f>
        <v>6.7294492957999736</v>
      </c>
      <c r="Q67" s="15">
        <f>ABS(L44)</f>
        <v>14.352268558452081</v>
      </c>
      <c r="R67" s="15">
        <f>ABS(P44)</f>
        <v>4.880118307257872</v>
      </c>
      <c r="S67" s="15">
        <f>ABS(X44)</f>
        <v>8.7982462429579407</v>
      </c>
      <c r="X67" t="str">
        <f t="shared" si="19"/>
        <v>-2.21416018269281, -1.93101175659427, -52.4393678492486, 5.09166421289972, 7.31678277190131, 6.32425861315136, 4.1785042537316</v>
      </c>
      <c r="Y67" t="str">
        <f t="shared" si="19"/>
        <v>-14.7565583670997, -30.1119626140651, 11.859608884327, 10.5579603092028, 27.0802545413507, 14.3692049475345, 12.7673462529246</v>
      </c>
      <c r="Z67" t="str">
        <f t="shared" si="19"/>
        <v>-14.3155150198791, -18.5683748225732, -29.9070667538523, 1.91298495040015, 5.40930582135414, 3.69016093664655, 2.387361447559</v>
      </c>
      <c r="AA67" t="str">
        <f t="shared" si="19"/>
        <v>-16.245702547412, -20.7786974352, -15.8937595637786, 8.93686462197647, 18.4721799455626, 10.7283549941983, 8.87130342728393</v>
      </c>
      <c r="AB67" t="str">
        <f t="shared" si="20"/>
        <v>0.945680716301378, 1.04882496321905, 5.6564635288139, 0.857896587126416, 1.02589209401013, 1.02582404579032, 0.733948699033728</v>
      </c>
      <c r="AC67" t="str">
        <f t="shared" si="20"/>
        <v>12.1699616644734, 27.2872869212544, 19.3749630801988, 10.1925315054448, 25.4435599119792, 13.3269486506143, 12.0905943541706</v>
      </c>
      <c r="AD67" t="str">
        <f t="shared" si="20"/>
        <v>1.31142241411304, 1.79314446013229, 2.73255378429375, 0.49019655869079, 0.656845667330514, 0.548444147197967, 0.404892807954591</v>
      </c>
      <c r="AE67" t="str">
        <f t="shared" si="20"/>
        <v>2.34886479445596, 3.19313325398897, 2.9077161757097, 1.51111304210474, 2.87004871286299, 1.73945824947905, 1.44043291769843</v>
      </c>
      <c r="AF67" t="str">
        <f t="shared" si="21"/>
        <v>23.0444271608789, 29.6605998284962, 34.7402689541308, 1.56855190647368, 7.31308653146375, 4.85939786325636, 6.72944929579997</v>
      </c>
      <c r="AG67" t="str">
        <f t="shared" si="21"/>
        <v>50.4653458714319, 59.724832265252, 51.6014723919881, 10.4741062109106, 21.7585080085848, 8.92779021791301, 14.3522685584521</v>
      </c>
      <c r="AH67" t="str">
        <f t="shared" si="21"/>
        <v>12.2341981686045, 18.7312480726558, 11.8187357576732, 2.80796233194299, 7.31878292962496, 4.78004022314571, 4.88011830725787</v>
      </c>
      <c r="AI67" t="str">
        <f t="shared" si="21"/>
        <v>51.1386322613014, 52.9553887419129, 56.8897003842642, 2.19738606910488, 9.03210273669832, 3.39593726701181, 8.79824624295794</v>
      </c>
    </row>
    <row r="68" spans="3:35" x14ac:dyDescent="0.25">
      <c r="C68" s="2"/>
      <c r="F68" s="6">
        <v>3</v>
      </c>
      <c r="G68" s="6" t="s">
        <v>61</v>
      </c>
      <c r="H68" s="15">
        <f>H45</f>
        <v>1.634131520168951</v>
      </c>
      <c r="I68" s="15">
        <f>L45</f>
        <v>6.6277610842505563</v>
      </c>
      <c r="J68" s="15">
        <f>P45</f>
        <v>0.57937963000969017</v>
      </c>
      <c r="K68" s="15">
        <f>X45</f>
        <v>2.4066457128126242</v>
      </c>
      <c r="L68" s="15">
        <f>I45</f>
        <v>0.56947814576822864</v>
      </c>
      <c r="M68" s="15">
        <f>M45</f>
        <v>6.5213881504179838</v>
      </c>
      <c r="N68" s="15">
        <f>Q45</f>
        <v>0.37908919136301644</v>
      </c>
      <c r="O68" s="15">
        <f>Y45</f>
        <v>0.56541176016765959</v>
      </c>
      <c r="P68" s="15">
        <f xml:space="preserve"> ABS(H46)</f>
        <v>4.1890801056837006</v>
      </c>
      <c r="Q68" s="15">
        <f>ABS(L46)</f>
        <v>19.803941759566698</v>
      </c>
      <c r="R68" s="15">
        <f>ABS(P46)</f>
        <v>4.3244414529660844</v>
      </c>
      <c r="S68" s="15">
        <f>ABS(X46)</f>
        <v>4.8458267742189722</v>
      </c>
      <c r="X68" t="str">
        <f t="shared" si="19"/>
        <v>-2.21416018269281, -1.93101175659427, -52.4393678492486, 5.09166421289972, 7.31678277190131, 6.32425861315136, 4.1785042537316, 1.63413152016895</v>
      </c>
      <c r="Y68" t="str">
        <f t="shared" si="19"/>
        <v>-14.7565583670997, -30.1119626140651, 11.859608884327, 10.5579603092028, 27.0802545413507, 14.3692049475345, 12.7673462529246, 6.62776108425056</v>
      </c>
      <c r="Z68" t="str">
        <f t="shared" si="19"/>
        <v>-14.3155150198791, -18.5683748225732, -29.9070667538523, 1.91298495040015, 5.40930582135414, 3.69016093664655, 2.387361447559, 0.57937963000969</v>
      </c>
      <c r="AA68" t="str">
        <f t="shared" si="19"/>
        <v>-16.245702547412, -20.7786974352, -15.8937595637786, 8.93686462197647, 18.4721799455626, 10.7283549941983, 8.87130342728393, 2.40664571281262</v>
      </c>
      <c r="AB68" t="str">
        <f t="shared" si="20"/>
        <v>0.945680716301378, 1.04882496321905, 5.6564635288139, 0.857896587126416, 1.02589209401013, 1.02582404579032, 0.733948699033728, 0.569478145768229</v>
      </c>
      <c r="AC68" t="str">
        <f t="shared" si="20"/>
        <v>12.1699616644734, 27.2872869212544, 19.3749630801988, 10.1925315054448, 25.4435599119792, 13.3269486506143, 12.0905943541706, 6.52138815041798</v>
      </c>
      <c r="AD68" t="str">
        <f t="shared" si="20"/>
        <v>1.31142241411304, 1.79314446013229, 2.73255378429375, 0.49019655869079, 0.656845667330514, 0.548444147197967, 0.404892807954591, 0.379089191363016</v>
      </c>
      <c r="AE68" t="str">
        <f t="shared" si="20"/>
        <v>2.34886479445596, 3.19313325398897, 2.9077161757097, 1.51111304210474, 2.87004871286299, 1.73945824947905, 1.44043291769843, 0.56541176016766</v>
      </c>
      <c r="AF68" t="str">
        <f t="shared" si="21"/>
        <v>23.0444271608789, 29.6605998284962, 34.7402689541308, 1.56855190647368, 7.31308653146375, 4.85939786325636, 6.72944929579997, 4.1890801056837</v>
      </c>
      <c r="AG68" t="str">
        <f t="shared" si="21"/>
        <v>50.4653458714319, 59.724832265252, 51.6014723919881, 10.4741062109106, 21.7585080085848, 8.92779021791301, 14.3522685584521, 19.8039417595667</v>
      </c>
      <c r="AH68" t="str">
        <f t="shared" si="21"/>
        <v>12.2341981686045, 18.7312480726558, 11.8187357576732, 2.80796233194299, 7.31878292962496, 4.78004022314571, 4.88011830725787, 4.32444145296608</v>
      </c>
      <c r="AI68" t="str">
        <f t="shared" si="21"/>
        <v>51.1386322613014, 52.9553887419129, 56.8897003842642, 2.19738606910488, 9.03210273669832, 3.39593726701181, 8.79824624295794, 4.84582677421897</v>
      </c>
    </row>
    <row r="69" spans="3:35" x14ac:dyDescent="0.25">
      <c r="C69" s="2"/>
      <c r="F69" s="6">
        <v>4</v>
      </c>
      <c r="G69" s="6" t="s">
        <v>112</v>
      </c>
      <c r="H69" s="15">
        <f>H47</f>
        <v>-1.2422826293923726</v>
      </c>
      <c r="I69" s="15">
        <f>L47</f>
        <v>-16.144107687608113</v>
      </c>
      <c r="J69" s="15">
        <f>P47</f>
        <v>-1.7817490830743368</v>
      </c>
      <c r="K69" s="15">
        <f>X47</f>
        <v>-1.4522588874304865</v>
      </c>
      <c r="L69" s="15">
        <f>I47</f>
        <v>0.52398678783104868</v>
      </c>
      <c r="M69" s="15">
        <f>M47</f>
        <v>15.34169922039046</v>
      </c>
      <c r="N69" s="15">
        <f>Q47</f>
        <v>0.35725352391341014</v>
      </c>
      <c r="O69" s="15">
        <f>Y47</f>
        <v>0.49892040885137939</v>
      </c>
      <c r="P69" s="15">
        <f xml:space="preserve"> ABS(H48)</f>
        <v>7.1798207216928276</v>
      </c>
      <c r="Q69" s="15">
        <f>ABS(L48)</f>
        <v>14.127652177249949</v>
      </c>
      <c r="R69" s="15">
        <f>ABS(P48)</f>
        <v>4.6680894447871362</v>
      </c>
      <c r="S69" s="15">
        <f>ABS(X48)</f>
        <v>0.50066619837248494</v>
      </c>
      <c r="X69" t="str">
        <f t="shared" si="19"/>
        <v>-2.21416018269281, -1.93101175659427, -52.4393678492486, 5.09166421289972, 7.31678277190131, 6.32425861315136, 4.1785042537316, 1.63413152016895, -1.24228262939237</v>
      </c>
      <c r="Y69" t="str">
        <f t="shared" si="19"/>
        <v>-14.7565583670997, -30.1119626140651, 11.859608884327, 10.5579603092028, 27.0802545413507, 14.3692049475345, 12.7673462529246, 6.62776108425056, -16.1441076876081</v>
      </c>
      <c r="Z69" t="str">
        <f t="shared" si="19"/>
        <v>-14.3155150198791, -18.5683748225732, -29.9070667538523, 1.91298495040015, 5.40930582135414, 3.69016093664655, 2.387361447559, 0.57937963000969, -1.78174908307434</v>
      </c>
      <c r="AA69" t="str">
        <f t="shared" si="19"/>
        <v>-16.245702547412, -20.7786974352, -15.8937595637786, 8.93686462197647, 18.4721799455626, 10.7283549941983, 8.87130342728393, 2.40664571281262, -1.45225888743049</v>
      </c>
      <c r="AB69" t="str">
        <f>_xlfn.CONCAT(AB68,", ",L69)</f>
        <v>0.945680716301378, 1.04882496321905, 5.6564635288139, 0.857896587126416, 1.02589209401013, 1.02582404579032, 0.733948699033728, 0.569478145768229, 0.523986787831049</v>
      </c>
      <c r="AC69" t="str">
        <f t="shared" si="20"/>
        <v>12.1699616644734, 27.2872869212544, 19.3749630801988, 10.1925315054448, 25.4435599119792, 13.3269486506143, 12.0905943541706, 6.52138815041798, 15.3416992203905</v>
      </c>
      <c r="AD69" t="str">
        <f t="shared" si="20"/>
        <v>1.31142241411304, 1.79314446013229, 2.73255378429375, 0.49019655869079, 0.656845667330514, 0.548444147197967, 0.404892807954591, 0.379089191363016, 0.35725352391341</v>
      </c>
      <c r="AE69" t="str">
        <f t="shared" si="20"/>
        <v>2.34886479445596, 3.19313325398897, 2.9077161757097, 1.51111304210474, 2.87004871286299, 1.73945824947905, 1.44043291769843, 0.56541176016766, 0.498920408851379</v>
      </c>
      <c r="AF69" t="str">
        <f t="shared" si="21"/>
        <v>23.0444271608789, 29.6605998284962, 34.7402689541308, 1.56855190647368, 7.31308653146375, 4.85939786325636, 6.72944929579997, 4.1890801056837, 7.17982072169283</v>
      </c>
      <c r="AG69" t="str">
        <f t="shared" si="21"/>
        <v>50.4653458714319, 59.724832265252, 51.6014723919881, 10.4741062109106, 21.7585080085848, 8.92779021791301, 14.3522685584521, 19.8039417595667, 14.1276521772499</v>
      </c>
      <c r="AH69" t="str">
        <f t="shared" si="21"/>
        <v>12.2341981686045, 18.7312480726558, 11.8187357576732, 2.80796233194299, 7.31878292962496, 4.78004022314571, 4.88011830725787, 4.32444145296608, 4.66808944478714</v>
      </c>
      <c r="AI69" t="str">
        <f t="shared" si="21"/>
        <v>51.1386322613014, 52.9553887419129, 56.8897003842642, 2.19738606910488, 9.03210273669832, 3.39593726701181, 8.79824624295794, 4.84582677421897, 0.500666198372485</v>
      </c>
    </row>
    <row r="70" spans="3:35" x14ac:dyDescent="0.25">
      <c r="C70" s="2"/>
      <c r="F70" s="6">
        <v>4</v>
      </c>
      <c r="G70" s="6" t="s">
        <v>113</v>
      </c>
      <c r="H70" s="15">
        <f>H49</f>
        <v>-1.3912257253697711</v>
      </c>
      <c r="I70" s="15">
        <f>L49</f>
        <v>-15.855907914518117</v>
      </c>
      <c r="J70" s="15">
        <f>P49</f>
        <v>-1.9628716313335295</v>
      </c>
      <c r="K70" s="15">
        <f>X49</f>
        <v>-1.9133722828633879</v>
      </c>
      <c r="L70" s="15">
        <f>I49</f>
        <v>0.54105823137727815</v>
      </c>
      <c r="M70" s="15">
        <f>M49</f>
        <v>14.802699431723623</v>
      </c>
      <c r="N70" s="15">
        <f>Q49</f>
        <v>0.39596055626560517</v>
      </c>
      <c r="O70" s="15">
        <f>Y49</f>
        <v>0.55355728288316464</v>
      </c>
      <c r="P70" s="15">
        <f>ABS(H50)</f>
        <v>10.336639777908283</v>
      </c>
      <c r="Q70" s="15">
        <f>L50</f>
        <v>23.32176320156556</v>
      </c>
      <c r="R70" s="15">
        <f>ABS(P50)</f>
        <v>5.7063224701069206</v>
      </c>
      <c r="S70" s="15">
        <f>ABS(X50)</f>
        <v>5.32769235123145</v>
      </c>
      <c r="X70" s="23" t="s">
        <v>215</v>
      </c>
      <c r="Y70" s="23" t="s">
        <v>216</v>
      </c>
      <c r="Z70" s="23" t="s">
        <v>217</v>
      </c>
      <c r="AA70" s="23" t="s">
        <v>190</v>
      </c>
      <c r="AB70" s="45" t="s">
        <v>230</v>
      </c>
      <c r="AC70" s="45" t="s">
        <v>231</v>
      </c>
      <c r="AD70" s="45" t="s">
        <v>232</v>
      </c>
      <c r="AE70" s="45" t="s">
        <v>233</v>
      </c>
      <c r="AF70" s="40" t="s">
        <v>218</v>
      </c>
      <c r="AG70" s="40" t="s">
        <v>219</v>
      </c>
      <c r="AH70" s="40" t="s">
        <v>220</v>
      </c>
      <c r="AI70" s="40" t="s">
        <v>193</v>
      </c>
    </row>
    <row r="71" spans="3:35" x14ac:dyDescent="0.25">
      <c r="C71" s="2"/>
      <c r="F71" s="6">
        <v>5</v>
      </c>
      <c r="G71" s="6" t="s">
        <v>114</v>
      </c>
      <c r="H71" s="15">
        <f>H53</f>
        <v>-50.225207666555782</v>
      </c>
      <c r="I71" s="15">
        <f>L53</f>
        <v>26.61616725142672</v>
      </c>
      <c r="J71" s="15">
        <f>P53</f>
        <v>-15.591551733973247</v>
      </c>
      <c r="K71" s="15">
        <f>X53</f>
        <v>0.35194298363341542</v>
      </c>
      <c r="L71" s="15">
        <f>I53</f>
        <v>7.750180058300816</v>
      </c>
      <c r="M71" s="15">
        <f>M53</f>
        <v>33.807959807711143</v>
      </c>
      <c r="N71" s="15">
        <f>Q53</f>
        <v>2.571421094245812</v>
      </c>
      <c r="O71" s="15">
        <f>Y53</f>
        <v>1.579247735426879</v>
      </c>
      <c r="P71" s="15"/>
      <c r="S71" s="15"/>
      <c r="T71" s="15"/>
      <c r="U71" s="15"/>
      <c r="V71" s="15"/>
      <c r="AB71" s="14"/>
    </row>
    <row r="72" spans="3:35" x14ac:dyDescent="0.25">
      <c r="C72" s="2"/>
      <c r="F72" s="6">
        <v>5</v>
      </c>
      <c r="G72" s="6" t="s">
        <v>115</v>
      </c>
      <c r="H72" s="15">
        <f>H54</f>
        <v>-50.508356092654324</v>
      </c>
      <c r="I72" s="15">
        <f>L54</f>
        <v>41.971571498392038</v>
      </c>
      <c r="J72" s="15">
        <f>P54</f>
        <v>-11.338691931279135</v>
      </c>
      <c r="K72" s="15">
        <f>X54</f>
        <v>4.8849378714213678</v>
      </c>
      <c r="L72" s="15">
        <f>I54</f>
        <v>8.3321582149458795</v>
      </c>
      <c r="M72" s="15">
        <f>M54</f>
        <v>47.560256440331202</v>
      </c>
      <c r="N72" s="15">
        <f>Q54</f>
        <v>2.7209007098707785</v>
      </c>
      <c r="O72" s="15">
        <f>Y54</f>
        <v>1.4068154081471065</v>
      </c>
      <c r="P72" s="15"/>
      <c r="AB72" s="14"/>
    </row>
    <row r="73" spans="3:35" ht="15.75" thickBot="1" x14ac:dyDescent="0.3">
      <c r="C73" s="2"/>
      <c r="F73" s="8">
        <v>5</v>
      </c>
      <c r="G73" s="8" t="s">
        <v>116</v>
      </c>
      <c r="H73" s="16">
        <f>H55</f>
        <v>-0.2831484260985454</v>
      </c>
      <c r="I73" s="16">
        <f>L55</f>
        <v>15.355404246965321</v>
      </c>
      <c r="J73" s="16">
        <f>X55</f>
        <v>4.5329948877879538</v>
      </c>
      <c r="K73" s="16">
        <f>X55</f>
        <v>4.5329948877879538</v>
      </c>
      <c r="L73" s="15">
        <f>I55</f>
        <v>2.290376982773962</v>
      </c>
      <c r="M73" s="16">
        <f>M55</f>
        <v>13.819704645739797</v>
      </c>
      <c r="N73" s="16">
        <f>Q55</f>
        <v>1.1055852433769227</v>
      </c>
      <c r="O73" s="16">
        <f>Y55</f>
        <v>0.78880607650894885</v>
      </c>
      <c r="P73" s="16"/>
      <c r="S73" s="9"/>
      <c r="T73" s="16"/>
      <c r="U73" s="16"/>
      <c r="V73" s="9"/>
      <c r="W73" s="9"/>
      <c r="X73" s="9"/>
      <c r="Y73" s="9"/>
      <c r="Z73" s="9"/>
      <c r="AA73" s="9"/>
      <c r="AB73" s="17"/>
    </row>
    <row r="74" spans="3:35" ht="15.75" thickBot="1" x14ac:dyDescent="0.3">
      <c r="C74" s="2"/>
      <c r="L74" s="16"/>
    </row>
    <row r="75" spans="3:35" x14ac:dyDescent="0.25">
      <c r="C75" s="2"/>
    </row>
    <row r="76" spans="3:35" x14ac:dyDescent="0.25">
      <c r="C76" s="2"/>
    </row>
    <row r="77" spans="3:35" x14ac:dyDescent="0.25">
      <c r="C77" s="2"/>
    </row>
    <row r="78" spans="3:35" x14ac:dyDescent="0.25">
      <c r="C78" s="2"/>
    </row>
    <row r="79" spans="3:35" x14ac:dyDescent="0.25">
      <c r="C79" s="2"/>
    </row>
    <row r="80" spans="3:35" x14ac:dyDescent="0.25">
      <c r="C80" s="2"/>
    </row>
    <row r="105" spans="12:12" x14ac:dyDescent="0.25">
      <c r="L105" s="3"/>
    </row>
    <row r="106" spans="12:12" x14ac:dyDescent="0.25">
      <c r="L106" s="3"/>
    </row>
    <row r="107" spans="12:12" x14ac:dyDescent="0.25">
      <c r="L107" s="3"/>
    </row>
    <row r="108" spans="12:12" x14ac:dyDescent="0.25">
      <c r="L108" s="3"/>
    </row>
    <row r="109" spans="12:12" x14ac:dyDescent="0.25">
      <c r="L109" s="3"/>
    </row>
    <row r="110" spans="12:12" x14ac:dyDescent="0.25">
      <c r="L110" s="3"/>
    </row>
    <row r="114" spans="7:7" x14ac:dyDescent="0.25">
      <c r="G114" s="3"/>
    </row>
    <row r="115" spans="7:7" x14ac:dyDescent="0.25">
      <c r="G115" s="3"/>
    </row>
    <row r="116" spans="7:7" x14ac:dyDescent="0.25">
      <c r="G116" s="3"/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437F-DD30-485E-B479-C958844B48D6}">
  <dimension ref="A1:AO144"/>
  <sheetViews>
    <sheetView zoomScale="83" zoomScaleNormal="106" workbookViewId="0">
      <pane xSplit="3" ySplit="2" topLeftCell="G63" activePane="bottomRight" state="frozen"/>
      <selection pane="topRight" activeCell="C1" sqref="C1"/>
      <selection pane="bottomLeft" activeCell="A3" sqref="A3"/>
      <selection pane="bottomRight" sqref="A1:C1048576"/>
    </sheetView>
  </sheetViews>
  <sheetFormatPr defaultColWidth="11.42578125" defaultRowHeight="15" x14ac:dyDescent="0.25"/>
  <cols>
    <col min="1" max="1" width="9.85546875" customWidth="1"/>
    <col min="2" max="2" width="6.85546875" hidden="1" customWidth="1"/>
    <col min="3" max="3" width="28.28515625" customWidth="1"/>
    <col min="4" max="4" width="13.140625" hidden="1" customWidth="1"/>
    <col min="5" max="5" width="11.5703125" hidden="1" customWidth="1"/>
    <col min="6" max="6" width="11.42578125" hidden="1" customWidth="1"/>
    <col min="7" max="7" width="14.5703125" customWidth="1"/>
    <col min="8" max="8" width="13.140625" bestFit="1" customWidth="1"/>
    <col min="9" max="9" width="11.5703125" bestFit="1" customWidth="1"/>
    <col min="10" max="10" width="13.5703125" customWidth="1"/>
    <col min="20" max="20" width="13.140625" bestFit="1" customWidth="1"/>
    <col min="21" max="21" width="11.5703125" bestFit="1" customWidth="1"/>
    <col min="22" max="22" width="11.42578125" customWidth="1"/>
    <col min="24" max="24" width="13.140625" bestFit="1" customWidth="1"/>
    <col min="25" max="25" width="12.5703125" bestFit="1" customWidth="1"/>
    <col min="26" max="26" width="11.42578125" customWidth="1"/>
  </cols>
  <sheetData>
    <row r="1" spans="1:39" x14ac:dyDescent="0.25">
      <c r="B1" t="s">
        <v>12</v>
      </c>
      <c r="D1" s="1" t="s">
        <v>13</v>
      </c>
      <c r="H1" s="4" t="s">
        <v>14</v>
      </c>
      <c r="I1" s="1"/>
      <c r="L1" s="1" t="s">
        <v>15</v>
      </c>
      <c r="P1" s="1" t="s">
        <v>117</v>
      </c>
      <c r="T1" s="1"/>
      <c r="X1" s="1" t="s">
        <v>17</v>
      </c>
      <c r="AG1" s="1"/>
      <c r="AM1" s="1"/>
    </row>
    <row r="2" spans="1:39" x14ac:dyDescent="0.25">
      <c r="A2" s="4"/>
      <c r="C2" t="s">
        <v>20</v>
      </c>
      <c r="D2" t="s">
        <v>21</v>
      </c>
      <c r="E2" t="s">
        <v>22</v>
      </c>
      <c r="F2" t="s">
        <v>23</v>
      </c>
      <c r="H2" t="s">
        <v>21</v>
      </c>
      <c r="I2" t="s">
        <v>22</v>
      </c>
      <c r="J2" t="s">
        <v>23</v>
      </c>
      <c r="L2" t="s">
        <v>21</v>
      </c>
      <c r="M2" t="s">
        <v>22</v>
      </c>
      <c r="N2" t="s">
        <v>23</v>
      </c>
      <c r="P2" t="s">
        <v>21</v>
      </c>
      <c r="Q2" t="s">
        <v>22</v>
      </c>
      <c r="R2" t="s">
        <v>23</v>
      </c>
      <c r="X2" t="s">
        <v>21</v>
      </c>
      <c r="Y2" t="s">
        <v>22</v>
      </c>
      <c r="Z2" t="s">
        <v>23</v>
      </c>
    </row>
    <row r="3" spans="1:39" ht="33" customHeight="1" x14ac:dyDescent="0.25">
      <c r="A3" s="4" t="s">
        <v>118</v>
      </c>
    </row>
    <row r="4" spans="1:39" x14ac:dyDescent="0.25">
      <c r="A4" s="4"/>
      <c r="B4" s="3" t="s">
        <v>26</v>
      </c>
      <c r="C4" t="s">
        <v>27</v>
      </c>
      <c r="G4" s="2"/>
      <c r="H4" s="33">
        <v>-1.3050734906879389</v>
      </c>
      <c r="I4" s="32">
        <v>1.8438058611507602</v>
      </c>
      <c r="J4" s="32">
        <v>-0.7078150244480802</v>
      </c>
      <c r="K4" s="2" t="str">
        <f t="shared" ref="K4:K29" si="0">IF(ABS(J4)&gt;2.576,"***",IF(ABS(J4)&gt;1.96,"**",IF(ABS(J4)&gt;1.645,"*","")))</f>
        <v/>
      </c>
      <c r="L4" s="49" t="s">
        <v>258</v>
      </c>
      <c r="O4" s="2" t="str">
        <f>IF(ABS(N4)&gt;2.576,"***",IF(ABS(N4)&gt;1.96,"**",IF(ABS(N4)&gt;1.645,"*","")))</f>
        <v/>
      </c>
      <c r="P4">
        <v>-11.547544240000001</v>
      </c>
      <c r="Q4">
        <v>1.9660370599999999</v>
      </c>
      <c r="R4">
        <v>-5.8735129989999999</v>
      </c>
      <c r="S4" s="2" t="str">
        <f t="shared" ref="S4:S12" si="1">IF(ABS(R4)&gt;2.576,"***",IF(ABS(R4)&gt;1.96,"**",IF(ABS(R4)&gt;1.645,"*","")))</f>
        <v>***</v>
      </c>
      <c r="W4" s="2"/>
      <c r="X4">
        <v>-25.519501282627122</v>
      </c>
      <c r="Y4">
        <v>8.4571349325967233</v>
      </c>
      <c r="Z4">
        <v>-3.0175114250886721</v>
      </c>
      <c r="AA4" s="2" t="str">
        <f t="shared" ref="AA4:AA12" si="2">IF(ABS(Z4)&gt;2.576,"***",IF(ABS(Z4)&gt;1.96,"**",IF(ABS(Z4)&gt;1.645,"*","")))</f>
        <v>***</v>
      </c>
    </row>
    <row r="5" spans="1:39" x14ac:dyDescent="0.25">
      <c r="A5" s="4"/>
      <c r="C5" t="s">
        <v>29</v>
      </c>
      <c r="G5" s="2"/>
      <c r="H5" s="32">
        <v>-32.545455445159483</v>
      </c>
      <c r="I5" s="32">
        <v>7.0315999693814728</v>
      </c>
      <c r="J5" s="32">
        <v>-4.6284566225149328</v>
      </c>
      <c r="K5" s="2" t="str">
        <f t="shared" si="0"/>
        <v>***</v>
      </c>
      <c r="O5" s="2" t="str">
        <f t="shared" ref="O5:O12" si="3">IF(ABS(N5)&gt;2.576,"***",IF(ABS(N5)&gt;1.96,"**",IF(ABS(N5)&gt;1.645,"*","")))</f>
        <v/>
      </c>
      <c r="P5">
        <v>16.016655199999999</v>
      </c>
      <c r="Q5">
        <v>2.7892220999999999</v>
      </c>
      <c r="R5">
        <v>5.7423376849999999</v>
      </c>
      <c r="S5" s="2" t="str">
        <f t="shared" si="1"/>
        <v>***</v>
      </c>
      <c r="W5" s="2"/>
      <c r="X5">
        <v>-56.774038027695475</v>
      </c>
      <c r="Y5">
        <v>19.015532420245279</v>
      </c>
      <c r="Z5">
        <v>-2.985666494788747</v>
      </c>
      <c r="AA5" s="2" t="str">
        <f t="shared" si="2"/>
        <v>***</v>
      </c>
    </row>
    <row r="6" spans="1:39" x14ac:dyDescent="0.25">
      <c r="A6" s="4"/>
      <c r="B6" s="3" t="s">
        <v>31</v>
      </c>
      <c r="C6" t="s">
        <v>32</v>
      </c>
      <c r="G6" s="2"/>
      <c r="H6" s="32">
        <v>1.1522201226548476</v>
      </c>
      <c r="I6" s="32">
        <v>2.2412128599128383</v>
      </c>
      <c r="J6" s="32">
        <v>0.51410561810700028</v>
      </c>
      <c r="K6" s="2" t="str">
        <f t="shared" si="0"/>
        <v/>
      </c>
      <c r="O6" s="2" t="str">
        <f t="shared" si="3"/>
        <v/>
      </c>
      <c r="P6">
        <v>-15.9220313</v>
      </c>
      <c r="Q6">
        <v>2.7067904</v>
      </c>
      <c r="R6">
        <v>-5.8822549710000001</v>
      </c>
      <c r="S6" s="2" t="str">
        <f t="shared" si="1"/>
        <v>***</v>
      </c>
      <c r="W6" s="2"/>
      <c r="X6">
        <v>-24.358345815439598</v>
      </c>
      <c r="Y6">
        <v>8.4561376156694852</v>
      </c>
      <c r="Z6">
        <v>-2.8805522003689759</v>
      </c>
      <c r="AA6" s="2" t="str">
        <f t="shared" si="2"/>
        <v>***</v>
      </c>
    </row>
    <row r="7" spans="1:39" x14ac:dyDescent="0.25">
      <c r="A7" s="4"/>
      <c r="C7" t="s">
        <v>34</v>
      </c>
      <c r="G7" s="2"/>
      <c r="H7" s="32">
        <v>38.479230988978344</v>
      </c>
      <c r="I7" s="32">
        <v>8.1605566133270493</v>
      </c>
      <c r="J7" s="32">
        <v>4.7152703929702158</v>
      </c>
      <c r="K7" s="2" t="str">
        <f t="shared" si="0"/>
        <v>***</v>
      </c>
      <c r="O7" s="2" t="str">
        <f t="shared" si="3"/>
        <v/>
      </c>
      <c r="P7">
        <v>16.481229460000002</v>
      </c>
      <c r="Q7">
        <v>2.6583388400000003</v>
      </c>
      <c r="R7">
        <v>6.1998227119999996</v>
      </c>
      <c r="S7" s="2" t="str">
        <f t="shared" si="1"/>
        <v>***</v>
      </c>
      <c r="W7" s="2"/>
      <c r="X7">
        <v>73.113546354401265</v>
      </c>
      <c r="Y7">
        <v>24.798957982700077</v>
      </c>
      <c r="Z7">
        <v>2.94825074526945</v>
      </c>
      <c r="AA7" s="2" t="str">
        <f t="shared" si="2"/>
        <v>***</v>
      </c>
    </row>
    <row r="8" spans="1:39" x14ac:dyDescent="0.25">
      <c r="A8" s="4"/>
      <c r="B8" s="3" t="s">
        <v>36</v>
      </c>
      <c r="C8" t="s">
        <v>37</v>
      </c>
      <c r="G8" s="2"/>
      <c r="H8" s="32">
        <v>-60.770268680429041</v>
      </c>
      <c r="I8" s="32">
        <v>12.065733321875864</v>
      </c>
      <c r="J8" s="32">
        <v>-5.036599687666647</v>
      </c>
      <c r="K8" s="2" t="str">
        <f t="shared" si="0"/>
        <v>***</v>
      </c>
      <c r="O8" s="2" t="str">
        <f t="shared" si="3"/>
        <v/>
      </c>
      <c r="P8">
        <v>-27.580111370000001</v>
      </c>
      <c r="Q8">
        <v>4.3557426399999999</v>
      </c>
      <c r="R8">
        <v>-6.3318964590000002</v>
      </c>
      <c r="S8" s="2" t="str">
        <f t="shared" si="1"/>
        <v>***</v>
      </c>
      <c r="W8" s="2"/>
      <c r="X8">
        <v>-27.145653934856959</v>
      </c>
      <c r="Y8">
        <v>9.0188456957947345</v>
      </c>
      <c r="Z8">
        <v>-3.0098811810822221</v>
      </c>
      <c r="AA8" s="2" t="str">
        <f t="shared" si="2"/>
        <v>***</v>
      </c>
    </row>
    <row r="9" spans="1:39" x14ac:dyDescent="0.25">
      <c r="A9" s="4"/>
      <c r="C9" t="s">
        <v>39</v>
      </c>
      <c r="G9" s="2"/>
      <c r="H9" s="32">
        <v>41.588125731965079</v>
      </c>
      <c r="I9" s="32">
        <v>9.1098886005042132</v>
      </c>
      <c r="J9" s="32">
        <v>4.5651629296173031</v>
      </c>
      <c r="K9" s="2" t="str">
        <f t="shared" si="0"/>
        <v>***</v>
      </c>
      <c r="O9" s="2" t="str">
        <f t="shared" si="3"/>
        <v/>
      </c>
      <c r="P9">
        <v>9.9915797869999992</v>
      </c>
      <c r="Q9">
        <v>2.05910422</v>
      </c>
      <c r="R9">
        <v>4.8523914670000003</v>
      </c>
      <c r="S9" s="2" t="str">
        <f t="shared" si="1"/>
        <v>***</v>
      </c>
      <c r="W9" s="2"/>
      <c r="X9">
        <v>-68.280838784941778</v>
      </c>
      <c r="Y9">
        <v>23.868568944172001</v>
      </c>
      <c r="Z9">
        <v>-2.8607009890140032</v>
      </c>
      <c r="AA9" s="2" t="str">
        <f t="shared" si="2"/>
        <v>***</v>
      </c>
    </row>
    <row r="10" spans="1:39" x14ac:dyDescent="0.25">
      <c r="A10" s="4"/>
      <c r="C10" t="s">
        <v>81</v>
      </c>
      <c r="G10" s="2"/>
      <c r="H10" s="32">
        <v>20.493804803899941</v>
      </c>
      <c r="I10" s="32">
        <v>4.5767990482602343</v>
      </c>
      <c r="J10" s="32">
        <v>4.4777593658367412</v>
      </c>
      <c r="K10" s="2" t="str">
        <f t="shared" si="0"/>
        <v>***</v>
      </c>
      <c r="O10" s="2" t="str">
        <f t="shared" si="3"/>
        <v/>
      </c>
      <c r="P10">
        <v>26.657407469999999</v>
      </c>
      <c r="Q10">
        <v>3.3954458199999999</v>
      </c>
      <c r="R10">
        <v>7.8509299959999996</v>
      </c>
      <c r="S10" s="2" t="str">
        <f t="shared" si="1"/>
        <v>***</v>
      </c>
      <c r="W10" s="2"/>
      <c r="X10">
        <v>12.266787604419216</v>
      </c>
      <c r="Y10">
        <v>6.9032289047340125</v>
      </c>
      <c r="Z10">
        <v>1.7769637619878209</v>
      </c>
      <c r="AA10" s="2" t="str">
        <f t="shared" si="2"/>
        <v>*</v>
      </c>
    </row>
    <row r="11" spans="1:39" x14ac:dyDescent="0.25">
      <c r="A11" s="4"/>
      <c r="C11" t="s">
        <v>82</v>
      </c>
      <c r="G11" s="2"/>
      <c r="H11" s="32">
        <v>22.0084743196254</v>
      </c>
      <c r="I11" s="32">
        <v>2.3143325536913122</v>
      </c>
      <c r="J11" s="32">
        <v>9.509642114536371</v>
      </c>
      <c r="K11" s="2" t="str">
        <f t="shared" si="0"/>
        <v>***</v>
      </c>
      <c r="O11" s="2" t="str">
        <f t="shared" si="3"/>
        <v/>
      </c>
      <c r="P11">
        <v>12.135318229999999</v>
      </c>
      <c r="Q11">
        <v>2.0030790600000001</v>
      </c>
      <c r="R11">
        <v>6.0583321349999997</v>
      </c>
      <c r="S11" s="2" t="str">
        <f t="shared" si="1"/>
        <v>***</v>
      </c>
      <c r="W11" s="2"/>
      <c r="X11">
        <v>-28.395805058157141</v>
      </c>
      <c r="Y11">
        <v>2.4626132217208179</v>
      </c>
      <c r="Z11">
        <v>-11.53076122864101</v>
      </c>
      <c r="AA11" s="2" t="str">
        <f t="shared" si="2"/>
        <v>***</v>
      </c>
    </row>
    <row r="12" spans="1:39" x14ac:dyDescent="0.25">
      <c r="B12" t="s">
        <v>46</v>
      </c>
      <c r="C12" t="s">
        <v>119</v>
      </c>
      <c r="G12" s="2"/>
      <c r="H12" s="32">
        <v>6.0209626958168316</v>
      </c>
      <c r="I12" s="32">
        <v>1.816591500587831</v>
      </c>
      <c r="J12" s="32">
        <v>3.314428529401634</v>
      </c>
      <c r="K12" s="2" t="str">
        <f t="shared" si="0"/>
        <v>***</v>
      </c>
      <c r="O12" s="2" t="str">
        <f t="shared" si="3"/>
        <v/>
      </c>
      <c r="P12">
        <v>2.4969667740000001</v>
      </c>
      <c r="Q12">
        <v>0.94383006000000003</v>
      </c>
      <c r="R12">
        <v>2.645568194</v>
      </c>
      <c r="S12" s="2" t="str">
        <f t="shared" si="1"/>
        <v>***</v>
      </c>
      <c r="V12" t="s">
        <v>154</v>
      </c>
      <c r="W12" s="2"/>
      <c r="X12">
        <v>8.8632683572384821</v>
      </c>
      <c r="Y12">
        <v>3.3052407299600977</v>
      </c>
      <c r="Z12">
        <v>2.6815802785249718</v>
      </c>
      <c r="AA12" s="2" t="str">
        <f t="shared" si="2"/>
        <v>***</v>
      </c>
    </row>
    <row r="13" spans="1:39" x14ac:dyDescent="0.25">
      <c r="G13" s="2"/>
      <c r="H13" s="32">
        <v>12.198675194342359</v>
      </c>
      <c r="I13" s="32">
        <v>3.3622188644613322</v>
      </c>
      <c r="J13" s="32">
        <v>3.6281621411629108</v>
      </c>
      <c r="K13" s="2" t="str">
        <f t="shared" si="0"/>
        <v>***</v>
      </c>
      <c r="O13" s="2"/>
      <c r="P13">
        <v>4.8012627910000001</v>
      </c>
      <c r="Q13">
        <v>1.4251184399999999</v>
      </c>
      <c r="R13">
        <v>3.3690271900000002</v>
      </c>
      <c r="S13" s="2"/>
      <c r="W13" s="2"/>
      <c r="X13">
        <v>-0.9845952095638113</v>
      </c>
      <c r="Y13">
        <v>1.2908190363227514</v>
      </c>
      <c r="Z13">
        <v>-0.76276781009420058</v>
      </c>
      <c r="AA13" s="2"/>
    </row>
    <row r="14" spans="1:39" x14ac:dyDescent="0.25">
      <c r="B14" t="s">
        <v>51</v>
      </c>
      <c r="C14" t="s">
        <v>120</v>
      </c>
      <c r="G14" s="2"/>
      <c r="H14" s="32">
        <v>10.003308538789868</v>
      </c>
      <c r="I14" s="32">
        <v>2.244971939448356</v>
      </c>
      <c r="J14" s="32">
        <v>4.4558724156026308</v>
      </c>
      <c r="K14" s="2" t="str">
        <f t="shared" si="0"/>
        <v>***</v>
      </c>
      <c r="O14" s="2" t="str">
        <f t="shared" ref="O14" si="4">IF(ABS(N14)&gt;2.576,"***",IF(ABS(N14)&gt;1.96,"**",IF(ABS(N14)&gt;1.645,"*","")))</f>
        <v/>
      </c>
      <c r="P14">
        <v>4.8440683660000001</v>
      </c>
      <c r="Q14">
        <v>1.1320615000000001</v>
      </c>
      <c r="R14">
        <v>4.2789798980000002</v>
      </c>
      <c r="S14" s="2" t="str">
        <f t="shared" ref="S14" si="5">IF(ABS(R14)&gt;2.576,"***",IF(ABS(R14)&gt;1.96,"**",IF(ABS(R14)&gt;1.645,"*","")))</f>
        <v>***</v>
      </c>
      <c r="W14" s="2"/>
      <c r="X14">
        <v>18.544241639439964</v>
      </c>
      <c r="Y14">
        <v>6.2357966388025794</v>
      </c>
      <c r="Z14">
        <v>2.9738368188672841</v>
      </c>
      <c r="AA14" s="2" t="str">
        <f t="shared" ref="AA14:AA29" si="6">IF(ABS(Z14)&gt;2.576,"***",IF(ABS(Z14)&gt;1.96,"**",IF(ABS(Z14)&gt;1.645,"*","")))</f>
        <v>***</v>
      </c>
    </row>
    <row r="15" spans="1:39" x14ac:dyDescent="0.25">
      <c r="G15" s="2"/>
      <c r="H15" s="32">
        <v>-0.83918031166136031</v>
      </c>
      <c r="I15" s="32">
        <v>0.59173661440790104</v>
      </c>
      <c r="J15" s="32">
        <v>-1.4181652634441999</v>
      </c>
      <c r="K15" s="2" t="str">
        <f t="shared" si="0"/>
        <v/>
      </c>
      <c r="O15" s="2"/>
      <c r="P15">
        <v>6.6288868670000003</v>
      </c>
      <c r="Q15">
        <v>1.1294925</v>
      </c>
      <c r="R15">
        <v>5.868907428</v>
      </c>
      <c r="S15" s="2"/>
      <c r="W15" s="2"/>
      <c r="X15">
        <v>10.241830848821865</v>
      </c>
      <c r="Y15">
        <v>3.6092122731496441</v>
      </c>
      <c r="Z15">
        <v>2.83769146110216</v>
      </c>
      <c r="AA15" s="2"/>
    </row>
    <row r="16" spans="1:39" x14ac:dyDescent="0.25">
      <c r="B16" t="s">
        <v>55</v>
      </c>
      <c r="C16" t="s">
        <v>121</v>
      </c>
      <c r="G16" s="2"/>
      <c r="H16" s="32">
        <v>5.2729673250086488</v>
      </c>
      <c r="I16" s="32">
        <v>1.776370777417223</v>
      </c>
      <c r="J16" s="32">
        <v>2.9683934187857699</v>
      </c>
      <c r="K16" s="2" t="str">
        <f t="shared" si="0"/>
        <v>***</v>
      </c>
      <c r="O16" s="2" t="str">
        <f t="shared" ref="O16" si="7">IF(ABS(N16)&gt;2.576,"***",IF(ABS(N16)&gt;1.96,"**",IF(ABS(N16)&gt;1.645,"*","")))</f>
        <v/>
      </c>
      <c r="P16">
        <v>3.4428195700000002</v>
      </c>
      <c r="Q16">
        <v>0.97800942000000002</v>
      </c>
      <c r="R16">
        <v>3.5202314779999999</v>
      </c>
      <c r="S16" s="2" t="str">
        <f t="shared" ref="S16" si="8">IF(ABS(R16)&gt;2.576,"***",IF(ABS(R16)&gt;1.96,"**",IF(ABS(R16)&gt;1.645,"*","")))</f>
        <v>***</v>
      </c>
      <c r="W16" s="2"/>
      <c r="X16">
        <v>9.5695846646512113</v>
      </c>
      <c r="Y16">
        <v>3.5101677121966861</v>
      </c>
      <c r="Z16">
        <v>2.726247133833529</v>
      </c>
      <c r="AA16" s="2" t="str">
        <f t="shared" si="6"/>
        <v>***</v>
      </c>
    </row>
    <row r="17" spans="1:27" x14ac:dyDescent="0.25">
      <c r="G17" s="2"/>
      <c r="H17" s="32">
        <v>-0.32687848314869483</v>
      </c>
      <c r="I17" s="32">
        <v>2.0283627613557003</v>
      </c>
      <c r="J17" s="32">
        <v>-0.16115385737520571</v>
      </c>
      <c r="K17" s="2" t="str">
        <f t="shared" si="0"/>
        <v/>
      </c>
      <c r="O17" s="2"/>
      <c r="P17">
        <v>-3.7580902379999999</v>
      </c>
      <c r="Q17">
        <v>1.6692980599999998</v>
      </c>
      <c r="R17">
        <v>-2.2512997229999998</v>
      </c>
      <c r="S17" s="2"/>
      <c r="W17" s="2"/>
      <c r="X17">
        <v>-4.11470439010417</v>
      </c>
      <c r="Y17">
        <v>2.14663682836873</v>
      </c>
      <c r="Z17">
        <v>-1.9168144027562459</v>
      </c>
      <c r="AA17" s="2"/>
    </row>
    <row r="18" spans="1:27" x14ac:dyDescent="0.25">
      <c r="B18" t="s">
        <v>58</v>
      </c>
      <c r="C18" t="s">
        <v>122</v>
      </c>
      <c r="G18" s="2"/>
      <c r="H18" s="32">
        <v>3.869597157443212</v>
      </c>
      <c r="I18" s="32">
        <v>1.4333549392460037</v>
      </c>
      <c r="J18" s="32">
        <v>2.699678252393479</v>
      </c>
      <c r="K18" s="2" t="str">
        <f t="shared" si="0"/>
        <v>***</v>
      </c>
      <c r="O18" s="2" t="str">
        <f t="shared" ref="O18" si="9">IF(ABS(N18)&gt;2.576,"***",IF(ABS(N18)&gt;1.96,"**",IF(ABS(N18)&gt;1.645,"*","")))</f>
        <v/>
      </c>
      <c r="P18">
        <v>1.6658071640000001</v>
      </c>
      <c r="Q18">
        <v>0.72946701999999997</v>
      </c>
      <c r="R18">
        <v>2.2835949009999998</v>
      </c>
      <c r="S18" s="2" t="str">
        <f t="shared" ref="S18" si="10">IF(ABS(R18)&gt;2.576,"***",IF(ABS(R18)&gt;1.96,"**",IF(ABS(R18)&gt;1.645,"*","")))</f>
        <v>**</v>
      </c>
      <c r="W18" s="2"/>
      <c r="X18">
        <v>8.9088099278159767</v>
      </c>
      <c r="Y18">
        <v>3.225011147874536</v>
      </c>
      <c r="Z18">
        <v>2.762412134199097</v>
      </c>
      <c r="AA18" s="2" t="str">
        <f t="shared" si="6"/>
        <v>***</v>
      </c>
    </row>
    <row r="19" spans="1:27" x14ac:dyDescent="0.25">
      <c r="G19" s="2"/>
      <c r="H19" s="32">
        <v>-12.87000232441482</v>
      </c>
      <c r="I19" s="32">
        <v>3.0127397967271303</v>
      </c>
      <c r="J19" s="32">
        <v>-4.2718598992173362</v>
      </c>
      <c r="K19" s="2" t="str">
        <f t="shared" si="0"/>
        <v>***</v>
      </c>
      <c r="O19" s="2"/>
      <c r="P19">
        <v>4.0454447010000001</v>
      </c>
      <c r="Q19">
        <v>0.9761728999999999</v>
      </c>
      <c r="R19">
        <v>4.144188711</v>
      </c>
      <c r="S19" s="2"/>
      <c r="W19" s="2"/>
      <c r="X19">
        <v>-8.1806893583919837</v>
      </c>
      <c r="Y19">
        <v>2.7129190567841439</v>
      </c>
      <c r="Z19">
        <v>-3.0154564832794</v>
      </c>
      <c r="AA19" s="2"/>
    </row>
    <row r="20" spans="1:27" x14ac:dyDescent="0.25">
      <c r="B20" t="s">
        <v>61</v>
      </c>
      <c r="C20" t="s">
        <v>123</v>
      </c>
      <c r="G20" s="2"/>
      <c r="H20" s="32">
        <v>-2.0976589936828622</v>
      </c>
      <c r="I20" s="32">
        <v>1.3038237212432526</v>
      </c>
      <c r="J20" s="32">
        <v>-1.6088516871610929</v>
      </c>
      <c r="K20" s="2" t="str">
        <f t="shared" si="0"/>
        <v/>
      </c>
      <c r="O20" s="2" t="str">
        <f t="shared" ref="O20" si="11">IF(ABS(N20)&gt;2.576,"***",IF(ABS(N20)&gt;1.96,"**",IF(ABS(N20)&gt;1.645,"*","")))</f>
        <v/>
      </c>
      <c r="P20">
        <v>0.65518591199999998</v>
      </c>
      <c r="Q20">
        <v>0.75231457999999996</v>
      </c>
      <c r="R20">
        <v>0.87089354900000004</v>
      </c>
      <c r="S20" s="2" t="str">
        <f t="shared" ref="S20" si="12">IF(ABS(R20)&gt;2.576,"***",IF(ABS(R20)&gt;1.96,"**",IF(ABS(R20)&gt;1.645,"*","")))</f>
        <v/>
      </c>
      <c r="W20" s="2"/>
      <c r="X20">
        <v>3.3525077536560097</v>
      </c>
      <c r="Y20">
        <v>1.52711437333322</v>
      </c>
      <c r="Z20">
        <v>2.1953219825562371</v>
      </c>
      <c r="AA20" s="2" t="str">
        <f t="shared" si="6"/>
        <v>**</v>
      </c>
    </row>
    <row r="21" spans="1:27" x14ac:dyDescent="0.25">
      <c r="G21" s="2"/>
      <c r="H21" s="32">
        <v>9.9136152677202087</v>
      </c>
      <c r="I21" s="32">
        <v>2.340549931486934</v>
      </c>
      <c r="J21" s="32">
        <v>4.2355923000634972</v>
      </c>
      <c r="K21" s="2" t="str">
        <f t="shared" si="0"/>
        <v>***</v>
      </c>
      <c r="O21" s="2"/>
      <c r="P21">
        <v>-6.0102593820000001</v>
      </c>
      <c r="Q21">
        <v>1.1228236199999999</v>
      </c>
      <c r="R21">
        <v>-5.352808145</v>
      </c>
      <c r="S21" s="2"/>
      <c r="W21" s="2"/>
      <c r="X21">
        <v>4.9879828748105099</v>
      </c>
      <c r="Y21">
        <v>1.9328339551285496</v>
      </c>
      <c r="Z21">
        <v>2.5806577236370871</v>
      </c>
      <c r="AA21" s="2"/>
    </row>
    <row r="22" spans="1:27" x14ac:dyDescent="0.25">
      <c r="B22" t="s">
        <v>64</v>
      </c>
      <c r="C22" t="s">
        <v>124</v>
      </c>
      <c r="G22" s="2"/>
      <c r="H22" s="32">
        <v>1.3104045467240557</v>
      </c>
      <c r="I22" s="32">
        <v>1.1981984311062883</v>
      </c>
      <c r="J22" s="32">
        <v>1.09364568731255</v>
      </c>
      <c r="K22" s="2" t="str">
        <f t="shared" si="0"/>
        <v/>
      </c>
      <c r="O22" s="2" t="str">
        <f t="shared" ref="O22" si="13">IF(ABS(N22)&gt;2.576,"***",IF(ABS(N22)&gt;1.96,"**",IF(ABS(N22)&gt;1.645,"*","")))</f>
        <v/>
      </c>
      <c r="P22">
        <v>-1.4396527729999999</v>
      </c>
      <c r="Q22">
        <v>0.71567641999999998</v>
      </c>
      <c r="R22">
        <v>-2.0115973060000001</v>
      </c>
      <c r="S22" s="2" t="str">
        <f t="shared" ref="S22" si="14">IF(ABS(R22)&gt;2.576,"***",IF(ABS(R22)&gt;1.96,"**",IF(ABS(R22)&gt;1.645,"*","")))</f>
        <v>**</v>
      </c>
      <c r="W22" s="2"/>
      <c r="X22">
        <v>-3.0364412864898362</v>
      </c>
      <c r="Y22">
        <v>1.5731775313713152</v>
      </c>
      <c r="Z22">
        <v>-1.9301326302588471</v>
      </c>
      <c r="AA22" s="2" t="str">
        <f t="shared" si="6"/>
        <v>*</v>
      </c>
    </row>
    <row r="23" spans="1:27" x14ac:dyDescent="0.25">
      <c r="G23" s="2"/>
      <c r="H23" s="32">
        <v>-10.870137022407773</v>
      </c>
      <c r="I23" s="32">
        <v>2.5316271473947438</v>
      </c>
      <c r="J23" s="32">
        <v>-4.2937353684147563</v>
      </c>
      <c r="K23" s="2" t="str">
        <f t="shared" si="0"/>
        <v>***</v>
      </c>
      <c r="O23" s="2"/>
      <c r="P23">
        <v>-6.1711275690000003</v>
      </c>
      <c r="Q23">
        <v>1.1450770400000001</v>
      </c>
      <c r="R23">
        <v>-5.3892684500000003</v>
      </c>
      <c r="S23" s="2"/>
      <c r="W23" s="2"/>
      <c r="X23">
        <v>3.3187896871457219</v>
      </c>
      <c r="Y23">
        <v>2.3107428197295397</v>
      </c>
      <c r="Z23">
        <v>1.436243643736246</v>
      </c>
      <c r="AA23" s="2"/>
    </row>
    <row r="24" spans="1:27" x14ac:dyDescent="0.25">
      <c r="B24" t="s">
        <v>67</v>
      </c>
      <c r="C24" t="s">
        <v>125</v>
      </c>
      <c r="G24" s="2"/>
      <c r="H24" s="32">
        <v>1.3866203802036672</v>
      </c>
      <c r="I24" s="32">
        <v>1.1025218929547949</v>
      </c>
      <c r="J24" s="32">
        <v>1.2576805858135649</v>
      </c>
      <c r="K24" s="2" t="str">
        <f t="shared" si="0"/>
        <v/>
      </c>
      <c r="O24" s="2" t="str">
        <f t="shared" ref="O24" si="15">IF(ABS(N24)&gt;2.576,"***",IF(ABS(N24)&gt;1.96,"**",IF(ABS(N24)&gt;1.645,"*","")))</f>
        <v/>
      </c>
      <c r="P24">
        <v>-1.483074147</v>
      </c>
      <c r="Q24">
        <v>0.66195453999999998</v>
      </c>
      <c r="R24">
        <v>-2.2404471589999999</v>
      </c>
      <c r="S24" s="2" t="str">
        <f t="shared" ref="S24:S29" si="16">IF(ABS(R24)&gt;2.576,"***",IF(ABS(R24)&gt;1.96,"**",IF(ABS(R24)&gt;1.645,"*","")))</f>
        <v>**</v>
      </c>
      <c r="W24" s="2"/>
      <c r="X24">
        <v>-4.5615851235564921</v>
      </c>
      <c r="Y24">
        <v>1.9164953928138562</v>
      </c>
      <c r="Z24">
        <v>-2.380170148418169</v>
      </c>
      <c r="AA24" s="2" t="str">
        <f t="shared" si="6"/>
        <v>**</v>
      </c>
    </row>
    <row r="25" spans="1:27" x14ac:dyDescent="0.25">
      <c r="G25" s="2"/>
      <c r="H25" s="32">
        <v>16.040761560976026</v>
      </c>
      <c r="I25" s="32">
        <v>3.3447574056243661</v>
      </c>
      <c r="J25" s="32">
        <v>4.79579222517087</v>
      </c>
      <c r="K25" s="2" t="str">
        <f t="shared" si="0"/>
        <v>***</v>
      </c>
      <c r="P25">
        <v>7.0839868629999998</v>
      </c>
      <c r="Q25">
        <v>1.16406886</v>
      </c>
      <c r="R25">
        <v>6.0855393849999997</v>
      </c>
      <c r="S25" s="2" t="str">
        <f t="shared" si="16"/>
        <v>***</v>
      </c>
      <c r="X25">
        <v>-8.546797357642026</v>
      </c>
      <c r="Y25">
        <v>3.0703678119853377</v>
      </c>
      <c r="Z25">
        <v>-2.783639577082317</v>
      </c>
      <c r="AA25" s="2" t="str">
        <f t="shared" si="6"/>
        <v>***</v>
      </c>
    </row>
    <row r="26" spans="1:27" x14ac:dyDescent="0.25">
      <c r="G26" s="2"/>
      <c r="H26">
        <v>-59.465195189741102</v>
      </c>
      <c r="I26">
        <v>16.333386701905692</v>
      </c>
      <c r="J26">
        <v>-3.6407143402049629</v>
      </c>
      <c r="K26" s="2" t="str">
        <f t="shared" si="0"/>
        <v>***</v>
      </c>
      <c r="P26">
        <v>-16.03256713</v>
      </c>
      <c r="Q26">
        <v>3.5024745200000003</v>
      </c>
      <c r="R26">
        <v>-4.5774971449999997</v>
      </c>
      <c r="S26" s="2" t="str">
        <f t="shared" si="16"/>
        <v>***</v>
      </c>
      <c r="X26">
        <v>-1.626152652229842</v>
      </c>
      <c r="Y26">
        <v>7.4097627535857225</v>
      </c>
      <c r="Z26">
        <v>-0.2194608257117161</v>
      </c>
      <c r="AA26" s="2" t="str">
        <f t="shared" si="6"/>
        <v/>
      </c>
    </row>
    <row r="27" spans="1:27" x14ac:dyDescent="0.25">
      <c r="B27" t="s">
        <v>93</v>
      </c>
      <c r="G27" s="2"/>
      <c r="H27" s="32">
        <v>-61.92248880308388</v>
      </c>
      <c r="I27" s="32">
        <v>16.154164408987018</v>
      </c>
      <c r="J27" s="32">
        <v>-3.8332214056602418</v>
      </c>
      <c r="K27" s="2" t="str">
        <f t="shared" si="0"/>
        <v>***</v>
      </c>
      <c r="P27">
        <v>-11.65808008</v>
      </c>
      <c r="Q27">
        <v>2.8194925399999997</v>
      </c>
      <c r="R27">
        <v>-4.1348149970000003</v>
      </c>
      <c r="S27" s="2" t="str">
        <f t="shared" si="16"/>
        <v>***</v>
      </c>
      <c r="W27" s="2"/>
      <c r="X27">
        <v>-2.7873081194173599</v>
      </c>
      <c r="Y27">
        <v>9.0846894000122003</v>
      </c>
      <c r="Z27">
        <v>-0.30681380470901037</v>
      </c>
      <c r="AA27" s="2" t="str">
        <f t="shared" si="6"/>
        <v/>
      </c>
    </row>
    <row r="28" spans="1:27" x14ac:dyDescent="0.25">
      <c r="B28" t="s">
        <v>94</v>
      </c>
      <c r="G28" s="2"/>
      <c r="H28" s="32">
        <v>-2.4572936133427863</v>
      </c>
      <c r="I28" s="32">
        <v>1.1477409418066029</v>
      </c>
      <c r="J28" s="32">
        <v>-2.1409827983263199</v>
      </c>
      <c r="K28" s="2" t="str">
        <f t="shared" si="0"/>
        <v>**</v>
      </c>
      <c r="O28" s="2" t="str">
        <f t="shared" ref="O28:O29" si="17">IF(ABS(N28)&gt;2.576,"***",IF(ABS(N28)&gt;1.96,"**",IF(ABS(N28)&gt;1.645,"*","")))</f>
        <v/>
      </c>
      <c r="P28">
        <v>4.3744870579999997</v>
      </c>
      <c r="Q28">
        <v>1.97021304</v>
      </c>
      <c r="R28">
        <v>2.2203116999999999</v>
      </c>
      <c r="S28" s="2" t="str">
        <f t="shared" si="16"/>
        <v>**</v>
      </c>
      <c r="W28" s="2"/>
      <c r="X28">
        <v>-1.1611554671875179</v>
      </c>
      <c r="Y28">
        <v>2.4137638506319057</v>
      </c>
      <c r="Z28">
        <v>-0.48105595204913532</v>
      </c>
      <c r="AA28" s="2" t="str">
        <f t="shared" si="6"/>
        <v/>
      </c>
    </row>
    <row r="29" spans="1:27" x14ac:dyDescent="0.25">
      <c r="B29" t="s">
        <v>95</v>
      </c>
      <c r="G29" s="2"/>
      <c r="H29" s="32"/>
      <c r="I29" s="32"/>
      <c r="J29" s="32"/>
      <c r="K29" s="2" t="str">
        <f t="shared" si="0"/>
        <v/>
      </c>
      <c r="O29" s="2" t="str">
        <f t="shared" si="17"/>
        <v/>
      </c>
      <c r="P29" s="32"/>
      <c r="Q29" s="32"/>
      <c r="R29" s="32"/>
      <c r="S29" s="2" t="str">
        <f t="shared" si="16"/>
        <v/>
      </c>
      <c r="W29" s="2"/>
      <c r="X29" s="32"/>
      <c r="Y29" s="32"/>
      <c r="Z29" s="32"/>
      <c r="AA29" s="2" t="str">
        <f t="shared" si="6"/>
        <v/>
      </c>
    </row>
    <row r="31" spans="1:27" ht="33" customHeight="1" x14ac:dyDescent="0.25">
      <c r="A31" s="4" t="s">
        <v>126</v>
      </c>
    </row>
    <row r="32" spans="1:27" x14ac:dyDescent="0.25">
      <c r="A32" s="4"/>
      <c r="B32" s="3" t="s">
        <v>26</v>
      </c>
      <c r="C32" t="s">
        <v>27</v>
      </c>
      <c r="D32" s="20"/>
      <c r="E32" s="20"/>
      <c r="F32" s="20"/>
      <c r="G32" s="20"/>
      <c r="H32">
        <v>-6.207653648574488</v>
      </c>
      <c r="I32">
        <v>1.9978900334916219</v>
      </c>
      <c r="J32">
        <v>-3.1071047677862689</v>
      </c>
      <c r="K32" s="20" t="str">
        <f>IF(ABS(J32)&gt;2.576,"***",IF(ABS(J32)&gt;1.96,"**",IF(ABS(J32)&gt;1.645,"*","")))</f>
        <v>***</v>
      </c>
      <c r="L32">
        <v>-1.7229701681867677</v>
      </c>
      <c r="M32">
        <v>12.76150982653049</v>
      </c>
      <c r="N32">
        <v>-0.13501303463362979</v>
      </c>
      <c r="O32" s="20" t="str">
        <f>IF(ABS(N32)&gt;2.576,"***",IF(ABS(N32)&gt;1.96,"**",IF(ABS(N32)&gt;1.645,"*","")))</f>
        <v/>
      </c>
      <c r="P32">
        <v>-18.499864878423608</v>
      </c>
      <c r="Q32">
        <v>4.2039329300588744</v>
      </c>
      <c r="R32">
        <v>-4.4006089502870651</v>
      </c>
      <c r="S32" s="20" t="str">
        <f>IF(ABS(R32)&gt;2.576,"***",IF(ABS(R32)&gt;1.96,"**",IF(ABS(R32)&gt;1.645,"*","")))</f>
        <v>***</v>
      </c>
      <c r="W32" s="20"/>
      <c r="X32">
        <v>-8.7411389478534005</v>
      </c>
      <c r="Y32">
        <v>2.8574929978289259</v>
      </c>
      <c r="Z32">
        <v>-3.0590237507125182</v>
      </c>
      <c r="AA32" s="20" t="str">
        <f t="shared" ref="AA32:AA37" si="18">IF(ABS(Z32)&gt;2.576,"***",IF(ABS(Z32)&gt;1.96,"**",IF(ABS(Z32)&gt;1.645,"*","")))</f>
        <v>***</v>
      </c>
    </row>
    <row r="33" spans="1:27" x14ac:dyDescent="0.25">
      <c r="A33" s="4"/>
      <c r="C33" t="s">
        <v>29</v>
      </c>
      <c r="D33" s="20"/>
      <c r="E33" s="20"/>
      <c r="F33" s="20"/>
      <c r="G33" s="20"/>
      <c r="H33">
        <v>34.629089193322237</v>
      </c>
      <c r="I33">
        <v>8.6256623936832053</v>
      </c>
      <c r="J33">
        <v>4.0146585401582628</v>
      </c>
      <c r="K33" s="20" t="str">
        <f t="shared" ref="K33:K37" si="19">IF(ABS(J33)&gt;2.576,"***",IF(ABS(J33)&gt;1.96,"**",IF(ABS(J33)&gt;1.645,"*","")))</f>
        <v>***</v>
      </c>
      <c r="L33">
        <v>-42.220833958099043</v>
      </c>
      <c r="M33">
        <v>178.25745275673</v>
      </c>
      <c r="N33">
        <v>-0.2368531206138029</v>
      </c>
      <c r="O33" s="20" t="str">
        <f t="shared" ref="O33:O56" si="20">IF(ABS(N33)&gt;2.576,"***",IF(ABS(N33)&gt;1.96,"**",IF(ABS(N33)&gt;1.645,"*","")))</f>
        <v/>
      </c>
      <c r="P33">
        <v>-17.885605119628831</v>
      </c>
      <c r="Q33">
        <v>4.3147513181539026</v>
      </c>
      <c r="R33">
        <v>-4.1452227024943156</v>
      </c>
      <c r="S33" s="20" t="str">
        <f t="shared" ref="S33:S56" si="21">IF(ABS(R33)&gt;2.576,"***",IF(ABS(R33)&gt;1.96,"**",IF(ABS(R33)&gt;1.645,"*","")))</f>
        <v>***</v>
      </c>
      <c r="W33" s="20"/>
      <c r="X33">
        <v>-55.05566671561246</v>
      </c>
      <c r="Y33">
        <v>17.535026618942247</v>
      </c>
      <c r="Z33">
        <v>-3.139753814581522</v>
      </c>
      <c r="AA33" s="20" t="str">
        <f t="shared" si="18"/>
        <v>***</v>
      </c>
    </row>
    <row r="34" spans="1:27" x14ac:dyDescent="0.25">
      <c r="A34" s="4"/>
      <c r="B34" s="3" t="s">
        <v>31</v>
      </c>
      <c r="C34" t="s">
        <v>32</v>
      </c>
      <c r="D34" s="20"/>
      <c r="E34" s="20"/>
      <c r="F34" s="20"/>
      <c r="G34" s="20"/>
      <c r="H34">
        <v>0.56721459778441663</v>
      </c>
      <c r="I34">
        <v>2.3988882004939343</v>
      </c>
      <c r="J34">
        <v>0.2364489506712428</v>
      </c>
      <c r="K34" s="20" t="str">
        <f t="shared" si="19"/>
        <v/>
      </c>
      <c r="L34">
        <v>-34.685860440127023</v>
      </c>
      <c r="M34">
        <v>143.20258030056812</v>
      </c>
      <c r="N34">
        <v>-0.24221533136710821</v>
      </c>
      <c r="O34" s="20" t="str">
        <f t="shared" si="20"/>
        <v/>
      </c>
      <c r="P34">
        <v>-25.287610589747281</v>
      </c>
      <c r="Q34">
        <v>6.0318339444230995</v>
      </c>
      <c r="R34">
        <v>-4.1923585467944866</v>
      </c>
      <c r="S34" s="20" t="str">
        <f t="shared" si="21"/>
        <v>***</v>
      </c>
      <c r="W34" s="20"/>
      <c r="X34">
        <v>-18.580299818671303</v>
      </c>
      <c r="Y34">
        <v>5.9092664194561442</v>
      </c>
      <c r="Z34">
        <v>-3.1442650406649508</v>
      </c>
      <c r="AA34" s="20" t="str">
        <f t="shared" si="18"/>
        <v>***</v>
      </c>
    </row>
    <row r="35" spans="1:27" x14ac:dyDescent="0.25">
      <c r="A35" s="4"/>
      <c r="C35" t="s">
        <v>34</v>
      </c>
      <c r="D35" s="20"/>
      <c r="E35" s="20"/>
      <c r="F35" s="20"/>
      <c r="G35" s="20"/>
      <c r="H35">
        <v>-41.109934583182842</v>
      </c>
      <c r="I35">
        <v>10.129319421742402</v>
      </c>
      <c r="J35">
        <v>-4.0585090539193676</v>
      </c>
      <c r="K35" s="20" t="str">
        <f t="shared" si="19"/>
        <v>***</v>
      </c>
      <c r="L35">
        <v>62.242110377456818</v>
      </c>
      <c r="M35">
        <v>264.9895801214048</v>
      </c>
      <c r="N35">
        <v>0.23488512396955619</v>
      </c>
      <c r="O35" s="20" t="str">
        <f t="shared" si="20"/>
        <v/>
      </c>
      <c r="P35">
        <v>-24.829628734783341</v>
      </c>
      <c r="Q35">
        <v>6.0963943835438581</v>
      </c>
      <c r="R35">
        <v>-4.0728383324094883</v>
      </c>
      <c r="S35" s="20" t="str">
        <f t="shared" si="21"/>
        <v>***</v>
      </c>
      <c r="W35" s="20"/>
      <c r="X35">
        <v>52.217894200356241</v>
      </c>
      <c r="Y35">
        <v>16.74796515923526</v>
      </c>
      <c r="Z35">
        <v>3.117864988605016</v>
      </c>
      <c r="AA35" s="20" t="str">
        <f t="shared" si="18"/>
        <v>***</v>
      </c>
    </row>
    <row r="36" spans="1:27" x14ac:dyDescent="0.25">
      <c r="A36" s="4"/>
      <c r="B36" s="3" t="s">
        <v>36</v>
      </c>
      <c r="C36" t="s">
        <v>37</v>
      </c>
      <c r="D36" s="20"/>
      <c r="E36" s="20"/>
      <c r="F36" s="20"/>
      <c r="G36" s="20"/>
      <c r="H36">
        <v>-73.432254628172117</v>
      </c>
      <c r="I36">
        <v>17.345344226524659</v>
      </c>
      <c r="J36">
        <v>-4.2335426538193941</v>
      </c>
      <c r="K36" s="20" t="str">
        <f t="shared" si="19"/>
        <v>***</v>
      </c>
      <c r="L36">
        <v>0.65100103357750871</v>
      </c>
      <c r="M36">
        <v>68.063540054620418</v>
      </c>
      <c r="N36">
        <v>9.5646073221446592E-3</v>
      </c>
      <c r="O36" s="20" t="str">
        <f t="shared" si="20"/>
        <v/>
      </c>
      <c r="P36">
        <v>-45.515305854691647</v>
      </c>
      <c r="Q36">
        <v>10.567865735389752</v>
      </c>
      <c r="R36">
        <v>-4.3069534562943614</v>
      </c>
      <c r="S36" s="20" t="str">
        <f t="shared" si="21"/>
        <v>***</v>
      </c>
      <c r="W36" s="20"/>
      <c r="X36">
        <v>-18.616683411947388</v>
      </c>
      <c r="Y36">
        <v>6.5640840829426095</v>
      </c>
      <c r="Z36">
        <v>-2.8361433486698608</v>
      </c>
      <c r="AA36" s="20" t="str">
        <f t="shared" si="18"/>
        <v>***</v>
      </c>
    </row>
    <row r="37" spans="1:27" x14ac:dyDescent="0.25">
      <c r="A37" s="4"/>
      <c r="C37" t="s">
        <v>39</v>
      </c>
      <c r="D37" s="20"/>
      <c r="E37" s="20"/>
      <c r="F37" s="20"/>
      <c r="G37" s="20"/>
      <c r="H37">
        <v>50.348097890866121</v>
      </c>
      <c r="I37">
        <v>13.116408194316417</v>
      </c>
      <c r="J37">
        <v>3.8385583267134731</v>
      </c>
      <c r="K37" s="20" t="str">
        <f t="shared" si="19"/>
        <v>***</v>
      </c>
      <c r="L37">
        <v>69.837092712231495</v>
      </c>
      <c r="M37">
        <v>308.65497971950361</v>
      </c>
      <c r="N37">
        <v>0.22626264697137671</v>
      </c>
      <c r="O37" s="20" t="str">
        <f t="shared" si="20"/>
        <v/>
      </c>
      <c r="P37">
        <v>-1.5047949610763425</v>
      </c>
      <c r="Q37">
        <v>2.0153375327542</v>
      </c>
      <c r="R37">
        <v>-0.74667143176749162</v>
      </c>
      <c r="S37" s="20" t="str">
        <f t="shared" si="21"/>
        <v/>
      </c>
      <c r="W37" s="20"/>
      <c r="X37">
        <v>39.511828517557824</v>
      </c>
      <c r="Y37">
        <v>12.59481302215092</v>
      </c>
      <c r="Z37">
        <v>3.1371508610780521</v>
      </c>
      <c r="AA37" s="20" t="str">
        <f t="shared" si="18"/>
        <v>***</v>
      </c>
    </row>
    <row r="38" spans="1:27" x14ac:dyDescent="0.25">
      <c r="A38" s="4"/>
      <c r="C38" t="s">
        <v>81</v>
      </c>
      <c r="D38" s="20"/>
      <c r="E38" s="20"/>
      <c r="F38" s="20"/>
      <c r="G38" s="20"/>
      <c r="H38">
        <v>17.637217041001197</v>
      </c>
      <c r="I38">
        <v>5.1805515463868428</v>
      </c>
      <c r="J38">
        <v>3.4045056560246398</v>
      </c>
      <c r="K38" s="20"/>
      <c r="L38">
        <v>18.650218717299726</v>
      </c>
      <c r="M38">
        <v>89.206209132598602</v>
      </c>
      <c r="N38">
        <v>0.2090686163961695</v>
      </c>
      <c r="O38" s="20" t="str">
        <f t="shared" si="20"/>
        <v/>
      </c>
      <c r="P38">
        <v>18.174180405574724</v>
      </c>
      <c r="Q38">
        <v>4.9506934538313399</v>
      </c>
      <c r="R38">
        <v>3.6710373152895852</v>
      </c>
      <c r="S38" s="20" t="str">
        <f t="shared" si="21"/>
        <v>***</v>
      </c>
      <c r="W38" s="20"/>
      <c r="X38">
        <v>19.421897062143557</v>
      </c>
      <c r="Y38">
        <v>6.7498295206785119</v>
      </c>
      <c r="Z38">
        <v>2.8773907552247651</v>
      </c>
      <c r="AA38" s="20"/>
    </row>
    <row r="39" spans="1:27" x14ac:dyDescent="0.25">
      <c r="A39" s="4"/>
      <c r="C39" t="s">
        <v>82</v>
      </c>
      <c r="D39" s="20"/>
      <c r="E39" s="20"/>
      <c r="F39" s="20"/>
      <c r="G39" s="20"/>
      <c r="H39">
        <v>-21.166051817464261</v>
      </c>
      <c r="I39">
        <v>2.105759651995732</v>
      </c>
      <c r="J39">
        <v>-10.05150411985724</v>
      </c>
      <c r="K39" s="20"/>
      <c r="L39">
        <v>58.416538203156762</v>
      </c>
      <c r="M39">
        <v>25.317663107902998</v>
      </c>
      <c r="N39">
        <v>2.3073432154534759</v>
      </c>
      <c r="O39" s="20" t="str">
        <f t="shared" si="20"/>
        <v>**</v>
      </c>
      <c r="P39">
        <v>-17.135494567741159</v>
      </c>
      <c r="Q39">
        <v>2.5541773666947498</v>
      </c>
      <c r="R39">
        <v>-6.7088115301544082</v>
      </c>
      <c r="S39" s="20" t="str">
        <f t="shared" si="21"/>
        <v>***</v>
      </c>
      <c r="W39" s="20"/>
      <c r="X39">
        <v>-33.051897791524198</v>
      </c>
      <c r="Y39">
        <v>2.828753360049852</v>
      </c>
      <c r="Z39">
        <v>-11.684262848190389</v>
      </c>
      <c r="AA39" s="20"/>
    </row>
    <row r="40" spans="1:27" x14ac:dyDescent="0.25">
      <c r="B40" t="s">
        <v>46</v>
      </c>
      <c r="C40" t="s">
        <v>47</v>
      </c>
      <c r="D40" s="20"/>
      <c r="E40" s="20"/>
      <c r="F40" s="20"/>
      <c r="G40" s="20"/>
      <c r="H40">
        <v>7.6376181485943597</v>
      </c>
      <c r="I40">
        <v>2.2636326457011742</v>
      </c>
      <c r="J40">
        <v>3.3740537198466511</v>
      </c>
      <c r="K40" s="20" t="str">
        <f>IF(ABS(J40)&gt;2.576,"***",IF(ABS(J40)&gt;1.96,"**",IF(ABS(J40)&gt;1.645,"*","")))</f>
        <v>***</v>
      </c>
      <c r="L40">
        <v>-7.0523793360498459</v>
      </c>
      <c r="M40">
        <v>36.329676789602779</v>
      </c>
      <c r="N40">
        <v>-0.19412171974148071</v>
      </c>
      <c r="O40" s="20" t="str">
        <f t="shared" si="20"/>
        <v/>
      </c>
      <c r="P40">
        <v>0.51736674348744061</v>
      </c>
      <c r="Q40">
        <v>1.3159158046582731</v>
      </c>
      <c r="R40">
        <v>0.39316097705946629</v>
      </c>
      <c r="S40" s="20" t="str">
        <f t="shared" si="21"/>
        <v/>
      </c>
      <c r="W40" s="20"/>
      <c r="X40">
        <v>10.40855947674666</v>
      </c>
      <c r="Y40">
        <v>3.676076393075256</v>
      </c>
      <c r="Z40">
        <v>2.831431766857075</v>
      </c>
      <c r="AA40" s="20" t="str">
        <f t="shared" ref="AA40" si="22">IF(ABS(Z40)&gt;2.576,"***",IF(ABS(Z40)&gt;1.96,"**",IF(ABS(Z40)&gt;1.645,"*","")))</f>
        <v>***</v>
      </c>
    </row>
    <row r="41" spans="1:27" x14ac:dyDescent="0.25">
      <c r="C41" t="s">
        <v>49</v>
      </c>
      <c r="D41" s="20"/>
      <c r="E41" s="20"/>
      <c r="F41" s="20"/>
      <c r="G41" s="20"/>
      <c r="H41">
        <v>4.4536399868828243</v>
      </c>
      <c r="I41">
        <v>1.7286510952387419</v>
      </c>
      <c r="J41">
        <v>2.5763672028147111</v>
      </c>
      <c r="K41" s="20"/>
      <c r="L41">
        <v>14.481320400533161</v>
      </c>
      <c r="M41">
        <v>59.633129681305761</v>
      </c>
      <c r="N41">
        <v>0.24284018762598791</v>
      </c>
      <c r="O41" s="20" t="str">
        <f t="shared" si="20"/>
        <v/>
      </c>
      <c r="P41">
        <v>-4.9433355950195743</v>
      </c>
      <c r="Q41">
        <v>1.891775904959776</v>
      </c>
      <c r="R41">
        <v>-2.613066157603209</v>
      </c>
      <c r="S41" s="20" t="str">
        <f t="shared" si="21"/>
        <v>***</v>
      </c>
      <c r="W41" s="20"/>
      <c r="X41">
        <v>3.0460171579928303</v>
      </c>
      <c r="Y41">
        <v>1.3975194551725569</v>
      </c>
      <c r="Z41">
        <v>2.1795883747584228</v>
      </c>
      <c r="AA41" s="20"/>
    </row>
    <row r="42" spans="1:27" x14ac:dyDescent="0.25">
      <c r="B42" t="s">
        <v>51</v>
      </c>
      <c r="C42" t="s">
        <v>52</v>
      </c>
      <c r="D42" s="20"/>
      <c r="E42" s="20"/>
      <c r="F42" s="20"/>
      <c r="G42" s="20"/>
      <c r="H42">
        <v>10.863174391741463</v>
      </c>
      <c r="I42">
        <v>2.9264151447612679</v>
      </c>
      <c r="J42">
        <v>3.7121098184542309</v>
      </c>
      <c r="K42" s="20" t="str">
        <f>IF(ABS(J42)&gt;2.576,"***",IF(ABS(J42)&gt;1.96,"**",IF(ABS(J42)&gt;1.645,"*","")))</f>
        <v>***</v>
      </c>
      <c r="L42">
        <v>22.306856755858384</v>
      </c>
      <c r="M42">
        <v>91.223851224086076</v>
      </c>
      <c r="N42">
        <v>0.24452877681148191</v>
      </c>
      <c r="O42" s="20" t="str">
        <f t="shared" si="20"/>
        <v/>
      </c>
      <c r="P42">
        <v>8.758285709222891</v>
      </c>
      <c r="Q42">
        <v>2.4752428640133899</v>
      </c>
      <c r="R42">
        <v>3.5383540890295091</v>
      </c>
      <c r="S42" s="20" t="str">
        <f t="shared" si="21"/>
        <v>***</v>
      </c>
      <c r="W42" s="20"/>
      <c r="X42">
        <v>21.426942586564838</v>
      </c>
      <c r="Y42">
        <v>6.8814568701087975</v>
      </c>
      <c r="Z42">
        <v>3.113721845680343</v>
      </c>
      <c r="AA42" s="20" t="str">
        <f t="shared" ref="AA42" si="23">IF(ABS(Z42)&gt;2.576,"***",IF(ABS(Z42)&gt;1.96,"**",IF(ABS(Z42)&gt;1.645,"*","")))</f>
        <v>***</v>
      </c>
    </row>
    <row r="43" spans="1:27" x14ac:dyDescent="0.25">
      <c r="C43" t="s">
        <v>54</v>
      </c>
      <c r="D43" s="20"/>
      <c r="E43" s="20"/>
      <c r="F43" s="20"/>
      <c r="G43" s="20"/>
      <c r="H43">
        <v>11.315173424323344</v>
      </c>
      <c r="I43">
        <v>3.0400290947809099</v>
      </c>
      <c r="J43">
        <v>3.7220608986108439</v>
      </c>
      <c r="K43" s="20"/>
      <c r="L43">
        <v>-3.1325414131940619</v>
      </c>
      <c r="M43">
        <v>26.28212229027136</v>
      </c>
      <c r="N43">
        <v>-0.11918905857741981</v>
      </c>
      <c r="O43" s="20" t="str">
        <f t="shared" si="20"/>
        <v/>
      </c>
      <c r="P43">
        <v>-11.787328280385122</v>
      </c>
      <c r="Q43">
        <v>2.9309727192986679</v>
      </c>
      <c r="R43">
        <v>-4.0216438054072476</v>
      </c>
      <c r="S43" s="20" t="str">
        <f t="shared" si="21"/>
        <v>***</v>
      </c>
      <c r="W43" s="20"/>
      <c r="X43">
        <v>-22.961693492304519</v>
      </c>
      <c r="Y43">
        <v>7.3601281811002686</v>
      </c>
      <c r="Z43">
        <v>-3.1197409783251868</v>
      </c>
      <c r="AA43" s="20"/>
    </row>
    <row r="44" spans="1:27" x14ac:dyDescent="0.25">
      <c r="B44" t="s">
        <v>55</v>
      </c>
      <c r="C44" t="s">
        <v>56</v>
      </c>
      <c r="D44" s="20"/>
      <c r="E44" s="20"/>
      <c r="F44" s="20"/>
      <c r="G44" s="20"/>
      <c r="H44">
        <v>9.0341303678782534</v>
      </c>
      <c r="I44">
        <v>2.7039845471552661</v>
      </c>
      <c r="J44">
        <v>3.341043637761405</v>
      </c>
      <c r="K44" s="20" t="str">
        <f>IF(ABS(J44)&gt;2.576,"***",IF(ABS(J44)&gt;1.96,"**",IF(ABS(J44)&gt;1.645,"*","")))</f>
        <v>***</v>
      </c>
      <c r="L44">
        <v>18.293798287576809</v>
      </c>
      <c r="M44">
        <v>75.371648343589641</v>
      </c>
      <c r="N44">
        <v>0.2427145841919576</v>
      </c>
      <c r="O44" s="20" t="str">
        <f t="shared" si="20"/>
        <v/>
      </c>
      <c r="P44">
        <v>3.7739817696367961</v>
      </c>
      <c r="Q44">
        <v>1.5040064543182441</v>
      </c>
      <c r="R44">
        <v>2.5092856209500218</v>
      </c>
      <c r="S44" s="20" t="str">
        <f t="shared" si="21"/>
        <v>**</v>
      </c>
      <c r="W44" s="20"/>
      <c r="X44">
        <v>14.204050977926039</v>
      </c>
      <c r="Y44">
        <v>4.6001469195073721</v>
      </c>
      <c r="Z44">
        <v>3.0877385497607421</v>
      </c>
      <c r="AA44" s="20" t="str">
        <f t="shared" ref="AA44" si="24">IF(ABS(Z44)&gt;2.576,"***",IF(ABS(Z44)&gt;1.96,"**",IF(ABS(Z44)&gt;1.645,"*","")))</f>
        <v>***</v>
      </c>
    </row>
    <row r="45" spans="1:27" x14ac:dyDescent="0.25">
      <c r="C45" t="s">
        <v>57</v>
      </c>
      <c r="D45" s="20"/>
      <c r="E45" s="20"/>
      <c r="F45" s="20"/>
      <c r="G45" s="20"/>
      <c r="H45">
        <v>-2.6242641899766501</v>
      </c>
      <c r="I45">
        <v>2.7338948549786117</v>
      </c>
      <c r="J45">
        <v>-0.9598994581659509</v>
      </c>
      <c r="K45" s="20"/>
      <c r="L45">
        <v>-16.758089577488693</v>
      </c>
      <c r="M45">
        <v>72.126295277032298</v>
      </c>
      <c r="N45">
        <v>-0.23234368981689671</v>
      </c>
      <c r="O45" s="20" t="str">
        <f t="shared" si="20"/>
        <v/>
      </c>
      <c r="P45">
        <v>8.484213236553801</v>
      </c>
      <c r="Q45">
        <v>2.326941700593788</v>
      </c>
      <c r="R45">
        <v>3.6460789861597309</v>
      </c>
      <c r="S45" s="20" t="str">
        <f t="shared" si="21"/>
        <v>***</v>
      </c>
      <c r="W45" s="20"/>
      <c r="X45">
        <v>-10.932845470471651</v>
      </c>
      <c r="Y45">
        <v>3.5818521888799779</v>
      </c>
      <c r="Z45">
        <v>-3.052288283813934</v>
      </c>
      <c r="AA45" s="20"/>
    </row>
    <row r="46" spans="1:27" x14ac:dyDescent="0.25">
      <c r="B46" t="s">
        <v>58</v>
      </c>
      <c r="C46" t="s">
        <v>59</v>
      </c>
      <c r="D46" s="20"/>
      <c r="E46" s="20"/>
      <c r="F46" s="20"/>
      <c r="G46" s="20"/>
      <c r="H46">
        <v>5.1674077277109944</v>
      </c>
      <c r="I46">
        <v>1.4165682590712438</v>
      </c>
      <c r="J46">
        <v>3.6478353193505439</v>
      </c>
      <c r="K46" s="20" t="str">
        <f>IF(ABS(J46)&gt;2.576,"***",IF(ABS(J46)&gt;1.96,"**",IF(ABS(J46)&gt;1.645,"*","")))</f>
        <v>***</v>
      </c>
      <c r="L46">
        <v>17.183454533162102</v>
      </c>
      <c r="M46">
        <v>72.73092998190458</v>
      </c>
      <c r="N46">
        <v>0.23626061893388869</v>
      </c>
      <c r="O46" s="20" t="str">
        <f t="shared" si="20"/>
        <v/>
      </c>
      <c r="P46">
        <v>2.6344406450007121</v>
      </c>
      <c r="Q46">
        <v>1.2901369878691509</v>
      </c>
      <c r="R46">
        <v>2.04198520759557</v>
      </c>
      <c r="S46" s="20" t="str">
        <f t="shared" si="21"/>
        <v>**</v>
      </c>
      <c r="W46" s="20"/>
      <c r="X46">
        <v>10.643316743722293</v>
      </c>
      <c r="Y46">
        <v>3.4576427617257623</v>
      </c>
      <c r="Z46">
        <v>3.0782002298033979</v>
      </c>
      <c r="AA46" s="20" t="str">
        <f t="shared" ref="AA46" si="25">IF(ABS(Z46)&gt;2.576,"***",IF(ABS(Z46)&gt;1.96,"**",IF(ABS(Z46)&gt;1.645,"*","")))</f>
        <v>***</v>
      </c>
    </row>
    <row r="47" spans="1:27" x14ac:dyDescent="0.25">
      <c r="C47" t="s">
        <v>60</v>
      </c>
      <c r="D47" s="20"/>
      <c r="E47" s="20"/>
      <c r="F47" s="20"/>
      <c r="G47" s="20"/>
      <c r="H47">
        <v>3.6028315473175123</v>
      </c>
      <c r="I47">
        <v>1.413943965716197</v>
      </c>
      <c r="J47">
        <v>2.5480723668512488</v>
      </c>
      <c r="K47" s="20"/>
      <c r="L47">
        <v>-9.5259789835757651</v>
      </c>
      <c r="M47">
        <v>37.655885487807062</v>
      </c>
      <c r="N47">
        <v>-0.25297450478651662</v>
      </c>
      <c r="O47" s="20" t="str">
        <f t="shared" si="20"/>
        <v/>
      </c>
      <c r="P47">
        <v>9.6220783227726958</v>
      </c>
      <c r="Q47">
        <v>2.3103377329321502</v>
      </c>
      <c r="R47">
        <v>4.1647929588895636</v>
      </c>
      <c r="S47" s="20" t="str">
        <f t="shared" si="21"/>
        <v>***</v>
      </c>
      <c r="W47" s="20"/>
      <c r="X47">
        <v>16.151789723406637</v>
      </c>
      <c r="Y47">
        <v>5.0336191444061242</v>
      </c>
      <c r="Z47">
        <v>3.2087826392976448</v>
      </c>
      <c r="AA47" s="20"/>
    </row>
    <row r="48" spans="1:27" x14ac:dyDescent="0.25">
      <c r="B48" t="s">
        <v>61</v>
      </c>
      <c r="C48" t="s">
        <v>62</v>
      </c>
      <c r="D48" s="20"/>
      <c r="E48" s="20"/>
      <c r="F48" s="20"/>
      <c r="G48" s="20"/>
      <c r="H48">
        <v>3.2077886758487701</v>
      </c>
      <c r="I48">
        <v>1.1174045066749247</v>
      </c>
      <c r="J48">
        <v>2.870749721060486</v>
      </c>
      <c r="K48" s="20" t="str">
        <f>IF(ABS(J48)&gt;2.576,"***",IF(ABS(J48)&gt;1.96,"**",IF(ABS(J48)&gt;1.645,"*","")))</f>
        <v>***</v>
      </c>
      <c r="L48">
        <v>7.6394714966463342</v>
      </c>
      <c r="M48">
        <v>32.878071308357278</v>
      </c>
      <c r="N48">
        <v>0.232357653373191</v>
      </c>
      <c r="O48" s="20" t="str">
        <f t="shared" si="20"/>
        <v/>
      </c>
      <c r="P48">
        <v>1.7573837397210015</v>
      </c>
      <c r="Q48">
        <v>1.0044526116195711</v>
      </c>
      <c r="R48">
        <v>1.74959347946481</v>
      </c>
      <c r="S48" s="20" t="str">
        <f t="shared" si="21"/>
        <v>*</v>
      </c>
      <c r="W48" s="20"/>
      <c r="X48">
        <v>1.9120564139972751</v>
      </c>
      <c r="Y48">
        <v>1.1303508295717368</v>
      </c>
      <c r="Z48">
        <v>1.6915601457307801</v>
      </c>
      <c r="AA48" s="20" t="str">
        <f t="shared" ref="AA48" si="26">IF(ABS(Z48)&gt;2.576,"***",IF(ABS(Z48)&gt;1.96,"**",IF(ABS(Z48)&gt;1.645,"*","")))</f>
        <v>*</v>
      </c>
    </row>
    <row r="49" spans="1:27" x14ac:dyDescent="0.25">
      <c r="C49" t="s">
        <v>63</v>
      </c>
      <c r="D49" s="20"/>
      <c r="E49" s="20"/>
      <c r="F49" s="20"/>
      <c r="G49" s="20"/>
      <c r="H49">
        <v>1.1353746966169551</v>
      </c>
      <c r="I49">
        <v>1.237605311280535</v>
      </c>
      <c r="J49">
        <v>0.91739643185774378</v>
      </c>
      <c r="K49" s="20"/>
      <c r="L49">
        <v>12.07495096129686</v>
      </c>
      <c r="M49">
        <v>50.517530940150081</v>
      </c>
      <c r="N49">
        <v>0.23902496295003969</v>
      </c>
      <c r="O49" s="20" t="str">
        <f t="shared" si="20"/>
        <v/>
      </c>
      <c r="P49">
        <v>-9.3160370386261349E-2</v>
      </c>
      <c r="Q49">
        <v>1.6204444048909727</v>
      </c>
      <c r="R49">
        <v>-5.7490630412914037E-2</v>
      </c>
      <c r="S49" s="20" t="str">
        <f t="shared" si="21"/>
        <v/>
      </c>
      <c r="W49" s="20"/>
      <c r="X49">
        <v>-5.1605320364553968</v>
      </c>
      <c r="Y49">
        <v>1.924750558637661</v>
      </c>
      <c r="Z49">
        <v>-2.6811432854489059</v>
      </c>
      <c r="AA49" s="20"/>
    </row>
    <row r="50" spans="1:27" x14ac:dyDescent="0.25">
      <c r="B50" t="s">
        <v>64</v>
      </c>
      <c r="C50" t="s">
        <v>65</v>
      </c>
      <c r="D50" s="20"/>
      <c r="E50" s="20"/>
      <c r="F50" s="20"/>
      <c r="G50" s="20"/>
      <c r="H50">
        <v>-4.0783384657676018</v>
      </c>
      <c r="I50">
        <v>1.37973730181284</v>
      </c>
      <c r="J50">
        <v>-2.955880413183773</v>
      </c>
      <c r="K50" s="20" t="str">
        <f>IF(ABS(J50)&gt;2.576,"***",IF(ABS(J50)&gt;1.96,"**",IF(ABS(J50)&gt;1.645,"*","")))</f>
        <v>***</v>
      </c>
      <c r="L50">
        <v>-3.8121631889746559</v>
      </c>
      <c r="M50">
        <v>19.155695429350775</v>
      </c>
      <c r="N50">
        <v>-0.19900938616582811</v>
      </c>
      <c r="O50" s="20" t="str">
        <f t="shared" si="20"/>
        <v/>
      </c>
      <c r="P50">
        <v>-2.3727337018466779</v>
      </c>
      <c r="Q50">
        <v>1.0622007554769834</v>
      </c>
      <c r="R50">
        <v>-2.2337902600918369</v>
      </c>
      <c r="S50" s="20" t="str">
        <f t="shared" si="21"/>
        <v>**</v>
      </c>
      <c r="W50" s="20"/>
      <c r="X50">
        <v>-2.1237301449301698</v>
      </c>
      <c r="Y50">
        <v>1.2360618930725253</v>
      </c>
      <c r="Z50">
        <v>-1.718142236106911</v>
      </c>
      <c r="AA50" s="20" t="str">
        <f t="shared" ref="AA50" si="27">IF(ABS(Z50)&gt;2.576,"***",IF(ABS(Z50)&gt;1.96,"**",IF(ABS(Z50)&gt;1.645,"*","")))</f>
        <v>*</v>
      </c>
    </row>
    <row r="51" spans="1:27" x14ac:dyDescent="0.25">
      <c r="C51" t="s">
        <v>66</v>
      </c>
      <c r="D51" s="20"/>
      <c r="E51" s="20"/>
      <c r="F51" s="20"/>
      <c r="G51" s="20"/>
      <c r="H51">
        <v>5.8652715968898601</v>
      </c>
      <c r="I51">
        <v>2.0763978520672479</v>
      </c>
      <c r="J51">
        <v>2.8247339935602569</v>
      </c>
      <c r="K51" s="20"/>
      <c r="L51">
        <v>0.92711955732189943</v>
      </c>
      <c r="M51">
        <v>8.4800015236662389</v>
      </c>
      <c r="N51">
        <v>0.1093301168324636</v>
      </c>
      <c r="O51" s="20" t="str">
        <f t="shared" si="20"/>
        <v/>
      </c>
      <c r="P51">
        <v>-4.5877764111205286</v>
      </c>
      <c r="Q51">
        <v>1.7347725114506538</v>
      </c>
      <c r="R51">
        <v>-2.64459828642554</v>
      </c>
      <c r="S51" s="20" t="str">
        <f t="shared" si="21"/>
        <v>***</v>
      </c>
      <c r="W51" s="20"/>
      <c r="X51">
        <v>-4.5027974189875604</v>
      </c>
      <c r="Y51">
        <v>1.3517144540052133</v>
      </c>
      <c r="Z51">
        <v>-3.3311750167688841</v>
      </c>
      <c r="AA51" s="20"/>
    </row>
    <row r="52" spans="1:27" x14ac:dyDescent="0.25">
      <c r="B52" t="s">
        <v>67</v>
      </c>
      <c r="C52" t="s">
        <v>68</v>
      </c>
      <c r="D52" s="20"/>
      <c r="E52" s="20"/>
      <c r="F52" s="20"/>
      <c r="G52" s="20"/>
      <c r="H52">
        <v>-6.378392654660038</v>
      </c>
      <c r="I52">
        <v>1.8426589047018265</v>
      </c>
      <c r="J52">
        <v>-3.4615156599979469</v>
      </c>
      <c r="K52" s="20" t="str">
        <f>IF(ABS(J52)&gt;2.576,"***",IF(ABS(J52)&gt;1.96,"**",IF(ABS(J52)&gt;1.645,"*","")))</f>
        <v>***</v>
      </c>
      <c r="L52">
        <v>-1.1060916267418666</v>
      </c>
      <c r="M52">
        <v>13.251649280331661</v>
      </c>
      <c r="N52">
        <v>-8.3468223716390372E-2</v>
      </c>
      <c r="O52" s="20" t="str">
        <f t="shared" si="20"/>
        <v/>
      </c>
      <c r="P52">
        <v>-4.3320839163289442</v>
      </c>
      <c r="Q52">
        <v>1.363464127784493</v>
      </c>
      <c r="R52">
        <v>-3.177262846928135</v>
      </c>
      <c r="S52" s="20" t="str">
        <f t="shared" si="21"/>
        <v>***</v>
      </c>
      <c r="W52" s="20"/>
      <c r="X52">
        <v>-7.3140388218482197</v>
      </c>
      <c r="Y52">
        <v>2.5362396514862464</v>
      </c>
      <c r="Z52">
        <v>-2.8838121892630149</v>
      </c>
      <c r="AA52" s="20" t="str">
        <f t="shared" ref="AA52:AA57" si="28">IF(ABS(Z52)&gt;2.576,"***",IF(ABS(Z52)&gt;1.96,"**",IF(ABS(Z52)&gt;1.645,"*","")))</f>
        <v>***</v>
      </c>
    </row>
    <row r="53" spans="1:27" x14ac:dyDescent="0.25">
      <c r="C53" t="s">
        <v>69</v>
      </c>
      <c r="D53" s="20"/>
      <c r="E53" s="20"/>
      <c r="F53" s="20"/>
      <c r="G53" s="20"/>
      <c r="H53">
        <v>12.160855176667152</v>
      </c>
      <c r="I53">
        <v>3.1927233974909841</v>
      </c>
      <c r="J53">
        <v>3.8089285110710849</v>
      </c>
      <c r="K53" s="20" t="str">
        <f t="shared" ref="K53:K56" si="29">IF(ABS(J53)&gt;2.576,"***",IF(ABS(J53)&gt;1.96,"**",IF(ABS(J53)&gt;1.645,"*","")))</f>
        <v>***</v>
      </c>
      <c r="L53">
        <v>-23.36698878759772</v>
      </c>
      <c r="M53">
        <v>97.205732256055185</v>
      </c>
      <c r="N53">
        <v>-0.24038694267582281</v>
      </c>
      <c r="O53" s="20" t="str">
        <f t="shared" si="20"/>
        <v/>
      </c>
      <c r="P53">
        <v>-7.6423165889621734</v>
      </c>
      <c r="Q53">
        <v>2.0856280843380102</v>
      </c>
      <c r="R53">
        <v>-3.664275834388703</v>
      </c>
      <c r="S53" s="20" t="str">
        <f t="shared" si="21"/>
        <v>***</v>
      </c>
      <c r="W53" s="20"/>
      <c r="X53">
        <v>11.855781150125406</v>
      </c>
      <c r="Y53">
        <v>3.9207773465980877</v>
      </c>
      <c r="Z53">
        <v>3.0238343323454022</v>
      </c>
      <c r="AA53" s="20" t="str">
        <f t="shared" si="28"/>
        <v>***</v>
      </c>
    </row>
    <row r="54" spans="1:27" x14ac:dyDescent="0.25">
      <c r="E54" s="20"/>
      <c r="F54" s="20"/>
      <c r="H54">
        <v>-67.224600979597625</v>
      </c>
      <c r="I54">
        <v>28.176445374482778</v>
      </c>
      <c r="J54">
        <v>-2.3858439233955928</v>
      </c>
      <c r="K54" s="20" t="str">
        <f t="shared" si="29"/>
        <v>**</v>
      </c>
      <c r="L54">
        <v>2.373971201764276</v>
      </c>
      <c r="M54">
        <v>3.6092599867944481</v>
      </c>
      <c r="N54">
        <v>0.65774458211659914</v>
      </c>
      <c r="O54" s="20" t="str">
        <f>IF(ABS(N54)&gt;2.576,"***",IF(ABS(N54)&gt;1.96,"**",IF(ABS(N54)&gt;1.645,"*","")))</f>
        <v/>
      </c>
      <c r="P54">
        <v>-27.015440976268042</v>
      </c>
      <c r="Q54">
        <v>6.8034024714557582</v>
      </c>
      <c r="R54">
        <v>-3.9708720878433361</v>
      </c>
      <c r="S54" s="20" t="str">
        <f t="shared" si="21"/>
        <v>***</v>
      </c>
      <c r="X54">
        <v>-9.8755444640939878</v>
      </c>
      <c r="Y54">
        <v>3.3563677801519121</v>
      </c>
      <c r="Z54">
        <v>-2.9423308501808498</v>
      </c>
      <c r="AA54" s="20" t="str">
        <f t="shared" si="28"/>
        <v>***</v>
      </c>
    </row>
    <row r="55" spans="1:27" x14ac:dyDescent="0.25">
      <c r="B55" t="s">
        <v>93</v>
      </c>
      <c r="E55" s="20"/>
      <c r="F55" s="20"/>
      <c r="G55" s="2"/>
      <c r="H55">
        <v>-73.999469225956545</v>
      </c>
      <c r="I55">
        <v>29.056029784144659</v>
      </c>
      <c r="J55">
        <v>-2.5467852895145602</v>
      </c>
      <c r="K55" s="20" t="str">
        <f>IF(ABS(J55)&gt;2.576,"***",IF(ABS(J55)&gt;1.96,"**",IF(ABS(J55)&gt;1.645,"*","")))</f>
        <v>**</v>
      </c>
      <c r="L55">
        <v>35.336861473704538</v>
      </c>
      <c r="M55">
        <v>11.207913332900368</v>
      </c>
      <c r="N55">
        <v>3.1528492792654479</v>
      </c>
      <c r="O55" s="20" t="str">
        <f t="shared" si="20"/>
        <v>***</v>
      </c>
      <c r="P55">
        <v>-20.227695264944359</v>
      </c>
      <c r="Q55">
        <v>6.5322285546181122</v>
      </c>
      <c r="R55">
        <v>-3.0965994370548939</v>
      </c>
      <c r="S55" s="20" t="str">
        <f t="shared" si="21"/>
        <v>***</v>
      </c>
      <c r="W55" s="20"/>
      <c r="X55">
        <v>-3.6383593276083641E-2</v>
      </c>
      <c r="Y55">
        <v>3.3824023910007623</v>
      </c>
      <c r="Z55">
        <v>-1.075673118399101E-2</v>
      </c>
      <c r="AA55" s="20" t="str">
        <f>IF(ABS(Z55)&gt;2.576,"***",IF(ABS(Z55)&gt;1.96,"**",IF(ABS(Z55)&gt;1.645,"*","")))</f>
        <v/>
      </c>
    </row>
    <row r="56" spans="1:27" x14ac:dyDescent="0.25">
      <c r="B56" t="s">
        <v>94</v>
      </c>
      <c r="E56" s="20"/>
      <c r="F56" s="20"/>
      <c r="G56" s="2"/>
      <c r="H56">
        <v>-6.7748682463589036</v>
      </c>
      <c r="I56">
        <v>2.508705420178194</v>
      </c>
      <c r="J56">
        <v>-2.7005435520116521</v>
      </c>
      <c r="K56" s="20" t="str">
        <f t="shared" si="29"/>
        <v>***</v>
      </c>
      <c r="L56">
        <v>32.96289027194026</v>
      </c>
      <c r="M56">
        <v>12.010398149662251</v>
      </c>
      <c r="N56">
        <v>2.7445293537472959</v>
      </c>
      <c r="O56" s="20" t="str">
        <f t="shared" si="20"/>
        <v>***</v>
      </c>
      <c r="P56">
        <v>6.7877457113236819</v>
      </c>
      <c r="Q56">
        <v>3.7073420301896318</v>
      </c>
      <c r="R56">
        <v>1.8308927679317699</v>
      </c>
      <c r="S56" s="20" t="str">
        <f t="shared" si="21"/>
        <v>*</v>
      </c>
      <c r="W56" s="20"/>
      <c r="X56">
        <v>9.8391608708179028</v>
      </c>
      <c r="Y56">
        <v>1.937947812186732</v>
      </c>
      <c r="Z56">
        <v>5.0771031133782909</v>
      </c>
      <c r="AA56" s="20" t="str">
        <f t="shared" si="28"/>
        <v>***</v>
      </c>
    </row>
    <row r="57" spans="1:27" x14ac:dyDescent="0.25">
      <c r="B57" t="s">
        <v>95</v>
      </c>
      <c r="E57" s="20"/>
      <c r="F57" s="20"/>
      <c r="G57" s="2"/>
      <c r="K57" s="20"/>
      <c r="O57" s="20"/>
      <c r="P57" s="32"/>
      <c r="Q57" s="32"/>
      <c r="R57" s="32"/>
      <c r="S57" s="20" t="str">
        <f t="shared" ref="S57" si="30">IF(ABS(R57)&gt;2.576,"***",IF(ABS(R57)&gt;1.96,"**",IF(ABS(R57)&gt;1.645,"*","")))</f>
        <v/>
      </c>
      <c r="T57" s="20"/>
      <c r="U57" s="20"/>
      <c r="V57" s="20"/>
      <c r="W57" s="20"/>
      <c r="X57" s="32"/>
      <c r="Y57" s="32"/>
      <c r="Z57" s="32"/>
      <c r="AA57" s="20" t="str">
        <f t="shared" si="28"/>
        <v/>
      </c>
    </row>
    <row r="58" spans="1:27" ht="33" customHeight="1" x14ac:dyDescent="0.25">
      <c r="A58" s="4" t="s">
        <v>127</v>
      </c>
      <c r="X58" s="32"/>
    </row>
    <row r="59" spans="1:27" x14ac:dyDescent="0.25">
      <c r="A59" s="4"/>
      <c r="B59" s="3" t="s">
        <v>26</v>
      </c>
      <c r="C59" t="s">
        <v>27</v>
      </c>
      <c r="D59" s="33"/>
      <c r="E59" s="32"/>
      <c r="F59" s="32"/>
      <c r="G59" s="20"/>
      <c r="H59">
        <v>-3.6172251929999999</v>
      </c>
      <c r="I59">
        <v>1.3952327600000001</v>
      </c>
      <c r="J59">
        <v>-2.592560389</v>
      </c>
      <c r="K59" s="20" t="str">
        <f t="shared" ref="K59:K64" si="31">IF(ABS(J59)&gt;2.576,"***",IF(ABS(J59)&gt;1.96,"**",IF(ABS(J59)&gt;1.645,"*","")))</f>
        <v>***</v>
      </c>
      <c r="L59" s="50" t="s">
        <v>258</v>
      </c>
      <c r="M59" s="32"/>
      <c r="N59" s="32"/>
      <c r="O59" s="20" t="str">
        <f>IF(ABS(N59)&gt;2.576,"***",IF(ABS(N59)&gt;1.96,"**",IF(ABS(N59)&gt;1.645,"*","")))</f>
        <v/>
      </c>
      <c r="P59">
        <v>-13.283710510000001</v>
      </c>
      <c r="Q59">
        <v>1.8710122600000001</v>
      </c>
      <c r="R59">
        <v>-7.0997452750000001</v>
      </c>
      <c r="S59" s="20" t="str">
        <f t="shared" ref="S59:S64" si="32">IF(ABS(R59)&gt;2.576,"***",IF(ABS(R59)&gt;1.96,"**",IF(ABS(R59)&gt;1.645,"*","")))</f>
        <v>***</v>
      </c>
      <c r="T59" s="20"/>
      <c r="U59" s="20"/>
      <c r="V59" s="20"/>
      <c r="W59" s="20"/>
      <c r="X59">
        <v>-19.550927704407492</v>
      </c>
      <c r="Y59" s="32">
        <v>7.2584511810403889</v>
      </c>
      <c r="Z59" s="32">
        <v>-2.6935398774157169</v>
      </c>
      <c r="AA59" s="20" t="str">
        <f t="shared" ref="AA59:AA84" si="33">IF(ABS(Z59)&gt;2.576,"***",IF(ABS(Z59)&gt;1.96,"**",IF(ABS(Z59)&gt;1.645,"*","")))</f>
        <v>***</v>
      </c>
    </row>
    <row r="60" spans="1:27" x14ac:dyDescent="0.25">
      <c r="A60" s="4"/>
      <c r="C60" t="s">
        <v>29</v>
      </c>
      <c r="D60" s="32"/>
      <c r="E60" s="32"/>
      <c r="F60" s="32"/>
      <c r="G60" s="20"/>
      <c r="H60">
        <v>-16.118407680000001</v>
      </c>
      <c r="I60">
        <v>2.3341237000000001</v>
      </c>
      <c r="J60">
        <v>-6.9055498880000004</v>
      </c>
      <c r="K60" s="20" t="str">
        <f t="shared" si="31"/>
        <v>***</v>
      </c>
      <c r="L60" s="32"/>
      <c r="M60" s="32"/>
      <c r="N60" s="32"/>
      <c r="O60" s="20" t="str">
        <f t="shared" ref="O60:O84" si="34">IF(ABS(N60)&gt;2.576,"***",IF(ABS(N60)&gt;1.96,"**",IF(ABS(N60)&gt;1.645,"*","")))</f>
        <v/>
      </c>
      <c r="P60">
        <v>-12.637427239999999</v>
      </c>
      <c r="Q60">
        <v>1.8779676599999999</v>
      </c>
      <c r="R60">
        <v>-6.7293104030000004</v>
      </c>
      <c r="S60" s="20" t="str">
        <f t="shared" si="32"/>
        <v>***</v>
      </c>
      <c r="T60" s="20"/>
      <c r="U60" s="20"/>
      <c r="V60" s="20"/>
      <c r="W60" s="20"/>
      <c r="X60" s="32">
        <v>-61.593001862756374</v>
      </c>
      <c r="Y60" s="32">
        <v>25.173425551873262</v>
      </c>
      <c r="Z60" s="32">
        <v>-2.4467469369965409</v>
      </c>
      <c r="AA60" s="20" t="str">
        <f t="shared" si="33"/>
        <v>**</v>
      </c>
    </row>
    <row r="61" spans="1:27" x14ac:dyDescent="0.25">
      <c r="A61" s="4"/>
      <c r="B61" s="3" t="s">
        <v>31</v>
      </c>
      <c r="C61" t="s">
        <v>32</v>
      </c>
      <c r="D61" s="32"/>
      <c r="E61" s="32"/>
      <c r="F61" s="32"/>
      <c r="G61" s="20"/>
      <c r="H61">
        <v>-0.80949012399999998</v>
      </c>
      <c r="I61">
        <v>1.1807693399999999</v>
      </c>
      <c r="J61">
        <v>-0.68556160200000005</v>
      </c>
      <c r="K61" s="20" t="str">
        <f t="shared" si="31"/>
        <v/>
      </c>
      <c r="L61" s="32"/>
      <c r="M61" s="32"/>
      <c r="N61" s="32"/>
      <c r="O61" s="20" t="str">
        <f t="shared" si="34"/>
        <v/>
      </c>
      <c r="P61">
        <v>-18.975642879999999</v>
      </c>
      <c r="Q61">
        <v>2.6678920399999999</v>
      </c>
      <c r="R61">
        <v>-7.1125977259999997</v>
      </c>
      <c r="S61" s="20" t="str">
        <f t="shared" si="32"/>
        <v>***</v>
      </c>
      <c r="T61" s="20"/>
      <c r="U61" s="20"/>
      <c r="V61" s="20"/>
      <c r="W61" s="20"/>
      <c r="X61" s="32">
        <v>-11.566322417983059</v>
      </c>
      <c r="Y61" s="32">
        <v>4.784880499336694</v>
      </c>
      <c r="Z61" s="32">
        <v>-2.4172646358851479</v>
      </c>
      <c r="AA61" s="20" t="str">
        <f t="shared" si="33"/>
        <v>**</v>
      </c>
    </row>
    <row r="62" spans="1:27" x14ac:dyDescent="0.25">
      <c r="A62" s="4"/>
      <c r="C62" t="s">
        <v>34</v>
      </c>
      <c r="D62" s="32"/>
      <c r="E62" s="32"/>
      <c r="F62" s="32"/>
      <c r="G62" s="20"/>
      <c r="H62">
        <v>20.766915210000001</v>
      </c>
      <c r="I62">
        <v>2.9334828000000002</v>
      </c>
      <c r="J62">
        <v>7.0792694779999996</v>
      </c>
      <c r="K62" s="20" t="str">
        <f t="shared" si="31"/>
        <v>***</v>
      </c>
      <c r="L62" s="32"/>
      <c r="M62" s="32"/>
      <c r="N62" s="32"/>
      <c r="O62" s="20" t="str">
        <f t="shared" si="34"/>
        <v/>
      </c>
      <c r="P62">
        <v>-13.49057024</v>
      </c>
      <c r="Q62">
        <v>2.0118121200000001</v>
      </c>
      <c r="R62">
        <v>-6.7056809370000003</v>
      </c>
      <c r="S62" s="20" t="str">
        <f t="shared" si="32"/>
        <v>***</v>
      </c>
      <c r="T62" s="20"/>
      <c r="U62" s="20"/>
      <c r="V62" s="20"/>
      <c r="W62" s="20"/>
      <c r="X62" s="32">
        <v>-75.439164098120855</v>
      </c>
      <c r="Y62" s="32">
        <v>30.704729603952117</v>
      </c>
      <c r="Z62" s="32">
        <v>-2.4569232516026061</v>
      </c>
      <c r="AA62" s="20" t="str">
        <f t="shared" si="33"/>
        <v>**</v>
      </c>
    </row>
    <row r="63" spans="1:27" x14ac:dyDescent="0.25">
      <c r="A63" s="4"/>
      <c r="B63" s="3" t="s">
        <v>36</v>
      </c>
      <c r="C63" t="s">
        <v>37</v>
      </c>
      <c r="D63" s="32"/>
      <c r="E63" s="32"/>
      <c r="F63" s="32"/>
      <c r="G63" s="20"/>
      <c r="H63">
        <v>-33.786318000000001</v>
      </c>
      <c r="I63">
        <v>4.3467892400000006</v>
      </c>
      <c r="J63">
        <v>-7.7727067380000001</v>
      </c>
      <c r="K63" s="20" t="str">
        <f t="shared" si="31"/>
        <v>***</v>
      </c>
      <c r="L63" s="32"/>
      <c r="M63" s="32"/>
      <c r="N63" s="32"/>
      <c r="O63" s="20" t="str">
        <f t="shared" si="34"/>
        <v/>
      </c>
      <c r="P63">
        <v>-25.528851469999999</v>
      </c>
      <c r="Q63">
        <v>3.6212034599999998</v>
      </c>
      <c r="R63">
        <v>-7.049825212</v>
      </c>
      <c r="S63" s="20" t="str">
        <f t="shared" si="32"/>
        <v>***</v>
      </c>
      <c r="T63" s="20"/>
      <c r="U63" s="20"/>
      <c r="V63" s="20"/>
      <c r="W63" s="20"/>
      <c r="X63" s="32">
        <v>19.139994022404931</v>
      </c>
      <c r="Y63" s="32">
        <v>11.286917502466501</v>
      </c>
      <c r="Z63" s="32">
        <v>1.6957680445721619</v>
      </c>
      <c r="AA63" s="20" t="str">
        <f t="shared" si="33"/>
        <v>*</v>
      </c>
    </row>
    <row r="64" spans="1:27" x14ac:dyDescent="0.25">
      <c r="A64" s="4"/>
      <c r="C64" t="s">
        <v>39</v>
      </c>
      <c r="D64" s="32"/>
      <c r="E64" s="32"/>
      <c r="F64" s="32"/>
      <c r="G64" s="20"/>
      <c r="H64">
        <v>-26.115501009999999</v>
      </c>
      <c r="I64">
        <v>3.48036134</v>
      </c>
      <c r="J64">
        <v>-7.5036752010000001</v>
      </c>
      <c r="K64" s="20" t="str">
        <f t="shared" si="31"/>
        <v>***</v>
      </c>
      <c r="L64" s="32"/>
      <c r="M64" s="32"/>
      <c r="N64" s="32"/>
      <c r="O64" s="20" t="str">
        <f t="shared" si="34"/>
        <v/>
      </c>
      <c r="P64">
        <v>-12.120777179999999</v>
      </c>
      <c r="Q64">
        <v>1.9316671599999999</v>
      </c>
      <c r="R64">
        <v>-6.2747751899999997</v>
      </c>
      <c r="S64" s="20" t="str">
        <f t="shared" si="32"/>
        <v>***</v>
      </c>
      <c r="T64" s="20"/>
      <c r="U64" s="20"/>
      <c r="V64" s="20"/>
      <c r="W64" s="20"/>
      <c r="X64" s="32">
        <v>-75.340240501599339</v>
      </c>
      <c r="Y64" s="32">
        <v>31.333918799719157</v>
      </c>
      <c r="Z64" s="32">
        <v>-2.404430833664974</v>
      </c>
      <c r="AA64" s="20" t="str">
        <f t="shared" si="33"/>
        <v>**</v>
      </c>
    </row>
    <row r="65" spans="1:27" x14ac:dyDescent="0.25">
      <c r="A65" s="4"/>
      <c r="C65" t="s">
        <v>81</v>
      </c>
      <c r="D65" s="32"/>
      <c r="E65" s="32"/>
      <c r="F65" s="32"/>
      <c r="G65" s="20"/>
      <c r="H65">
        <v>33.476642030000001</v>
      </c>
      <c r="I65">
        <v>2.7187721399999996</v>
      </c>
      <c r="J65">
        <v>12.31314736</v>
      </c>
      <c r="K65" s="20"/>
      <c r="L65" s="32"/>
      <c r="M65" s="32"/>
      <c r="N65" s="32"/>
      <c r="O65" s="20" t="str">
        <f>IF(ABS(N65)&gt;2.576,"***",IF(ABS(N65)&gt;1.96,"**",IF(ABS(N65)&gt;1.645,"*","")))</f>
        <v/>
      </c>
      <c r="P65">
        <v>31.20096582</v>
      </c>
      <c r="Q65">
        <v>3.2626305799999997</v>
      </c>
      <c r="R65">
        <v>9.5631316650000002</v>
      </c>
      <c r="S65" s="20"/>
      <c r="T65" s="20"/>
      <c r="U65" s="20"/>
      <c r="V65" s="20"/>
      <c r="W65" s="20"/>
      <c r="X65" s="32">
        <v>25.681680637120561</v>
      </c>
      <c r="Y65" s="32">
        <v>8.6078538694894302</v>
      </c>
      <c r="Z65" s="32">
        <v>2.98351726533711</v>
      </c>
      <c r="AA65" s="20" t="str">
        <f t="shared" si="33"/>
        <v>***</v>
      </c>
    </row>
    <row r="66" spans="1:27" x14ac:dyDescent="0.25">
      <c r="A66" s="4"/>
      <c r="C66" t="s">
        <v>82</v>
      </c>
      <c r="D66" s="32"/>
      <c r="E66" s="32"/>
      <c r="F66" s="32"/>
      <c r="G66" s="20"/>
      <c r="H66">
        <v>-19.030271429999999</v>
      </c>
      <c r="I66">
        <v>2.4256875199999999</v>
      </c>
      <c r="J66">
        <v>-7.8453103820000001</v>
      </c>
      <c r="K66" s="20"/>
      <c r="L66" s="32"/>
      <c r="M66" s="32"/>
      <c r="N66" s="32"/>
      <c r="O66" s="20" t="str">
        <f t="shared" si="34"/>
        <v/>
      </c>
      <c r="P66">
        <v>-20.38715723</v>
      </c>
      <c r="Q66">
        <v>2.5480616199999999</v>
      </c>
      <c r="R66">
        <v>-8.0010456199999993</v>
      </c>
      <c r="S66" s="20"/>
      <c r="T66" s="20"/>
      <c r="U66" s="20"/>
      <c r="V66" s="20"/>
      <c r="W66" s="20"/>
      <c r="X66" s="32">
        <v>43.545740855760762</v>
      </c>
      <c r="Y66" s="32">
        <v>4.036255175182494</v>
      </c>
      <c r="Z66" s="32">
        <v>10.788649122956381</v>
      </c>
      <c r="AA66" s="20" t="str">
        <f t="shared" si="33"/>
        <v>***</v>
      </c>
    </row>
    <row r="67" spans="1:27" x14ac:dyDescent="0.25">
      <c r="B67" t="s">
        <v>46</v>
      </c>
      <c r="C67" t="s">
        <v>47</v>
      </c>
      <c r="D67" s="32"/>
      <c r="E67" s="32"/>
      <c r="F67" s="32"/>
      <c r="G67" s="20"/>
      <c r="H67">
        <v>4.3916133579999999</v>
      </c>
      <c r="I67">
        <v>0.95742857999999997</v>
      </c>
      <c r="J67">
        <v>4.5868835060000004</v>
      </c>
      <c r="K67" s="20" t="str">
        <f>IF(ABS(J67)&gt;2.576,"***",IF(ABS(J67)&gt;1.96,"**",IF(ABS(J67)&gt;1.645,"*","")))</f>
        <v>***</v>
      </c>
      <c r="L67" s="32"/>
      <c r="M67" s="32"/>
      <c r="N67" s="32"/>
      <c r="O67" s="20" t="str">
        <f t="shared" si="34"/>
        <v/>
      </c>
      <c r="P67">
        <v>0.88483307300000003</v>
      </c>
      <c r="Q67">
        <v>0.60295882000000001</v>
      </c>
      <c r="R67">
        <v>1.467485057</v>
      </c>
      <c r="S67" s="20" t="str">
        <f t="shared" ref="S67" si="35">IF(ABS(R67)&gt;2.576,"***",IF(ABS(R67)&gt;1.96,"**",IF(ABS(R67)&gt;1.645,"*","")))</f>
        <v/>
      </c>
      <c r="T67" s="20"/>
      <c r="U67" s="20"/>
      <c r="V67" s="20"/>
      <c r="W67" s="20"/>
      <c r="X67" s="32">
        <v>15.759891458525326</v>
      </c>
      <c r="Y67" s="32">
        <v>6.8747771931000461</v>
      </c>
      <c r="Z67" s="32">
        <v>2.2924221419630779</v>
      </c>
      <c r="AA67" s="20" t="str">
        <f t="shared" si="33"/>
        <v>**</v>
      </c>
    </row>
    <row r="68" spans="1:27" x14ac:dyDescent="0.25">
      <c r="C68" t="s">
        <v>49</v>
      </c>
      <c r="D68" s="32"/>
      <c r="E68" s="32"/>
      <c r="F68" s="32"/>
      <c r="G68" s="20"/>
      <c r="H68">
        <v>-3.3246154560000001</v>
      </c>
      <c r="I68">
        <v>1.1260595599999998</v>
      </c>
      <c r="J68">
        <v>-2.9524330710000002</v>
      </c>
      <c r="K68" s="20"/>
      <c r="L68" s="32"/>
      <c r="M68" s="32"/>
      <c r="N68" s="32"/>
      <c r="O68" s="20" t="str">
        <f t="shared" si="34"/>
        <v/>
      </c>
      <c r="P68">
        <v>3.0667262649999998</v>
      </c>
      <c r="Q68">
        <v>0.81784092000000008</v>
      </c>
      <c r="R68">
        <v>3.7497833570000001</v>
      </c>
      <c r="S68" s="20"/>
      <c r="T68" s="20"/>
      <c r="U68" s="20"/>
      <c r="V68" s="20"/>
      <c r="W68" s="20"/>
      <c r="X68" s="32">
        <v>-2.1652250266656661</v>
      </c>
      <c r="Y68" s="32">
        <v>1.9338575427575442</v>
      </c>
      <c r="Z68" s="32">
        <v>-1.1196403968713271</v>
      </c>
      <c r="AA68" s="20" t="str">
        <f t="shared" si="33"/>
        <v/>
      </c>
    </row>
    <row r="69" spans="1:27" x14ac:dyDescent="0.25">
      <c r="B69" t="s">
        <v>51</v>
      </c>
      <c r="C69" t="s">
        <v>52</v>
      </c>
      <c r="D69" s="32"/>
      <c r="E69" s="32"/>
      <c r="F69" s="32"/>
      <c r="G69" s="20"/>
      <c r="H69">
        <v>3.4772111350000001</v>
      </c>
      <c r="I69">
        <v>0.91634090000000001</v>
      </c>
      <c r="J69">
        <v>3.7946698250000002</v>
      </c>
      <c r="K69" s="20" t="str">
        <f>IF(ABS(J69)&gt;2.576,"***",IF(ABS(J69)&gt;1.96,"**",IF(ABS(J69)&gt;1.645,"*","")))</f>
        <v>***</v>
      </c>
      <c r="L69" s="32"/>
      <c r="M69" s="32"/>
      <c r="N69" s="32"/>
      <c r="O69" s="20" t="str">
        <f t="shared" si="34"/>
        <v/>
      </c>
      <c r="P69">
        <v>5.1847721849999999</v>
      </c>
      <c r="Q69">
        <v>0.95386915999999999</v>
      </c>
      <c r="R69">
        <v>5.4355171609999999</v>
      </c>
      <c r="S69" s="20" t="str">
        <f t="shared" ref="S69" si="36">IF(ABS(R69)&gt;2.576,"***",IF(ABS(R69)&gt;1.96,"**",IF(ABS(R69)&gt;1.645,"*","")))</f>
        <v>***</v>
      </c>
      <c r="T69" s="20"/>
      <c r="U69" s="20"/>
      <c r="V69" s="20"/>
      <c r="W69" s="20"/>
      <c r="X69" s="32">
        <v>30.830354989067882</v>
      </c>
      <c r="Y69" s="32">
        <v>12.949465655232471</v>
      </c>
      <c r="Z69" s="32">
        <v>2.3808206307424209</v>
      </c>
      <c r="AA69" s="20" t="str">
        <f t="shared" si="33"/>
        <v>**</v>
      </c>
    </row>
    <row r="70" spans="1:27" x14ac:dyDescent="0.25">
      <c r="C70" t="s">
        <v>54</v>
      </c>
      <c r="D70" s="32"/>
      <c r="E70" s="32"/>
      <c r="F70" s="32"/>
      <c r="G70" s="20"/>
      <c r="H70">
        <v>4.8315494990000003</v>
      </c>
      <c r="I70">
        <v>0.79333158000000004</v>
      </c>
      <c r="J70">
        <v>6.090201865</v>
      </c>
      <c r="K70" s="20"/>
      <c r="L70" s="32"/>
      <c r="M70" s="32"/>
      <c r="N70" s="32"/>
      <c r="O70" s="20" t="str">
        <f t="shared" si="34"/>
        <v/>
      </c>
      <c r="P70">
        <v>5.8968554270000002</v>
      </c>
      <c r="Q70">
        <v>0.95036922000000001</v>
      </c>
      <c r="R70">
        <v>6.2048047479999999</v>
      </c>
      <c r="S70" s="20"/>
      <c r="T70" s="20"/>
      <c r="U70" s="20"/>
      <c r="V70" s="20"/>
      <c r="W70" s="20"/>
      <c r="X70" s="32">
        <v>-25.099261646210216</v>
      </c>
      <c r="Y70" s="32">
        <v>10.074676067737268</v>
      </c>
      <c r="Z70" s="32">
        <v>-2.4913219519372012</v>
      </c>
      <c r="AA70" s="20" t="str">
        <f t="shared" si="33"/>
        <v>**</v>
      </c>
    </row>
    <row r="71" spans="1:27" x14ac:dyDescent="0.25">
      <c r="B71" t="s">
        <v>55</v>
      </c>
      <c r="C71" t="s">
        <v>56</v>
      </c>
      <c r="D71" s="32"/>
      <c r="E71" s="32"/>
      <c r="F71" s="32"/>
      <c r="G71" s="20"/>
      <c r="H71">
        <v>2.4477952539999999</v>
      </c>
      <c r="I71">
        <v>0.83097660000000007</v>
      </c>
      <c r="J71">
        <v>2.9456849470000002</v>
      </c>
      <c r="K71" s="20" t="str">
        <f>IF(ABS(J71)&gt;2.576,"***",IF(ABS(J71)&gt;1.96,"**",IF(ABS(J71)&gt;1.645,"*","")))</f>
        <v>***</v>
      </c>
      <c r="L71" s="32"/>
      <c r="M71" s="32"/>
      <c r="N71" s="32"/>
      <c r="O71" s="20" t="str">
        <f t="shared" si="34"/>
        <v/>
      </c>
      <c r="P71">
        <v>3.5370693630000001</v>
      </c>
      <c r="Q71">
        <v>0.74073612</v>
      </c>
      <c r="R71">
        <v>4.7750734069999998</v>
      </c>
      <c r="S71" s="20" t="str">
        <f t="shared" ref="S71" si="37">IF(ABS(R71)&gt;2.576,"***",IF(ABS(R71)&gt;1.96,"**",IF(ABS(R71)&gt;1.645,"*","")))</f>
        <v>***</v>
      </c>
      <c r="T71" s="20"/>
      <c r="U71" s="20"/>
      <c r="V71" s="20"/>
      <c r="W71" s="20"/>
      <c r="X71" s="32">
        <v>18.056310127900101</v>
      </c>
      <c r="Y71" s="32">
        <v>7.6908565402423958</v>
      </c>
      <c r="Z71" s="32">
        <v>2.347763221615236</v>
      </c>
      <c r="AA71" s="20" t="str">
        <f t="shared" si="33"/>
        <v>**</v>
      </c>
    </row>
    <row r="72" spans="1:27" x14ac:dyDescent="0.25">
      <c r="C72" t="s">
        <v>57</v>
      </c>
      <c r="D72" s="32"/>
      <c r="E72" s="32"/>
      <c r="F72" s="32"/>
      <c r="G72" s="20"/>
      <c r="H72">
        <v>0.43665475500000001</v>
      </c>
      <c r="I72">
        <v>1.0181156</v>
      </c>
      <c r="J72">
        <v>0.428885238</v>
      </c>
      <c r="K72" s="20"/>
      <c r="L72" s="32"/>
      <c r="M72" s="32"/>
      <c r="N72" s="32"/>
      <c r="O72" s="20" t="str">
        <f t="shared" si="34"/>
        <v/>
      </c>
      <c r="P72">
        <v>3.3892674330000001</v>
      </c>
      <c r="Q72">
        <v>0.97218526000000005</v>
      </c>
      <c r="R72">
        <v>3.4862362130000002</v>
      </c>
      <c r="S72" s="20"/>
      <c r="T72" s="20"/>
      <c r="U72" s="20"/>
      <c r="V72" s="20"/>
      <c r="W72" s="20"/>
      <c r="X72" s="32">
        <v>7.826945902784094</v>
      </c>
      <c r="Y72" s="32">
        <v>3.3915806805484121</v>
      </c>
      <c r="Z72" s="32">
        <v>2.3077575443431559</v>
      </c>
      <c r="AA72" s="20" t="str">
        <f t="shared" si="33"/>
        <v>**</v>
      </c>
    </row>
    <row r="73" spans="1:27" x14ac:dyDescent="0.25">
      <c r="B73" t="s">
        <v>58</v>
      </c>
      <c r="C73" t="s">
        <v>59</v>
      </c>
      <c r="D73" s="32"/>
      <c r="E73" s="32"/>
      <c r="F73" s="32"/>
      <c r="G73" s="20"/>
      <c r="H73">
        <v>3.2914709270000002</v>
      </c>
      <c r="I73">
        <v>0.81830723999999999</v>
      </c>
      <c r="J73">
        <v>4.0222922729999997</v>
      </c>
      <c r="K73" s="20" t="str">
        <f>IF(ABS(J73)&gt;2.576,"***",IF(ABS(J73)&gt;1.96,"**",IF(ABS(J73)&gt;1.645,"*","")))</f>
        <v>***</v>
      </c>
      <c r="L73" s="32"/>
      <c r="M73" s="32"/>
      <c r="N73" s="32"/>
      <c r="O73" s="20" t="str">
        <f t="shared" si="34"/>
        <v/>
      </c>
      <c r="P73">
        <v>3.3053566230000002</v>
      </c>
      <c r="Q73">
        <v>0.66759899999999994</v>
      </c>
      <c r="R73">
        <v>4.9511108110000004</v>
      </c>
      <c r="S73" s="20" t="str">
        <f t="shared" ref="S73" si="38">IF(ABS(R73)&gt;2.576,"***",IF(ABS(R73)&gt;1.96,"**",IF(ABS(R73)&gt;1.645,"*","")))</f>
        <v>***</v>
      </c>
      <c r="T73" s="20"/>
      <c r="U73" s="20"/>
      <c r="V73" s="20"/>
      <c r="W73" s="20"/>
      <c r="X73" s="32">
        <v>11.310159538947106</v>
      </c>
      <c r="Y73" s="32">
        <v>4.64731600003973</v>
      </c>
      <c r="Z73" s="32">
        <v>2.4336971143882651</v>
      </c>
      <c r="AA73" s="20" t="str">
        <f t="shared" si="33"/>
        <v>**</v>
      </c>
    </row>
    <row r="74" spans="1:27" x14ac:dyDescent="0.25">
      <c r="C74" t="s">
        <v>60</v>
      </c>
      <c r="D74" s="32"/>
      <c r="E74" s="32"/>
      <c r="F74" s="32"/>
      <c r="G74" s="20"/>
      <c r="H74">
        <v>3.959315776</v>
      </c>
      <c r="I74">
        <v>0.8249765</v>
      </c>
      <c r="J74">
        <v>4.7993073859999997</v>
      </c>
      <c r="K74" s="20"/>
      <c r="L74" s="32"/>
      <c r="M74" s="32"/>
      <c r="N74" s="32"/>
      <c r="O74" s="20" t="str">
        <f t="shared" si="34"/>
        <v/>
      </c>
      <c r="P74">
        <v>-2.778244129</v>
      </c>
      <c r="Q74">
        <v>0.68655625999999992</v>
      </c>
      <c r="R74">
        <v>-4.0466372440000002</v>
      </c>
      <c r="S74" s="20"/>
      <c r="T74" s="20"/>
      <c r="U74" s="20"/>
      <c r="V74" s="20"/>
      <c r="W74" s="20"/>
      <c r="X74" s="32">
        <v>18.761701759567998</v>
      </c>
      <c r="Y74" s="32">
        <v>7.8431709414743249</v>
      </c>
      <c r="Z74" s="32">
        <v>2.3921067001558001</v>
      </c>
      <c r="AA74" s="20" t="str">
        <f t="shared" si="33"/>
        <v>**</v>
      </c>
    </row>
    <row r="75" spans="1:27" x14ac:dyDescent="0.25">
      <c r="B75" t="s">
        <v>61</v>
      </c>
      <c r="C75" t="s">
        <v>62</v>
      </c>
      <c r="D75" s="32"/>
      <c r="E75" s="32"/>
      <c r="F75" s="32"/>
      <c r="G75" s="20"/>
      <c r="H75">
        <v>1.328785613</v>
      </c>
      <c r="I75">
        <v>0.64898237999999997</v>
      </c>
      <c r="J75">
        <v>2.0474910400000002</v>
      </c>
      <c r="K75" s="20" t="str">
        <f>IF(ABS(J75)&gt;2.576,"***",IF(ABS(J75)&gt;1.96,"**",IF(ABS(J75)&gt;1.645,"*","")))</f>
        <v>**</v>
      </c>
      <c r="L75" s="32"/>
      <c r="M75" s="32"/>
      <c r="N75" s="32"/>
      <c r="O75" s="20" t="str">
        <f t="shared" si="34"/>
        <v/>
      </c>
      <c r="P75">
        <v>0.46943170499999998</v>
      </c>
      <c r="Q75">
        <v>0.51708284000000004</v>
      </c>
      <c r="R75">
        <v>0.90784621700000001</v>
      </c>
      <c r="S75" s="20" t="str">
        <f t="shared" ref="S75" si="39">IF(ABS(R75)&gt;2.576,"***",IF(ABS(R75)&gt;1.96,"**",IF(ABS(R75)&gt;1.645,"*","")))</f>
        <v/>
      </c>
      <c r="T75" s="20"/>
      <c r="U75" s="20"/>
      <c r="V75" s="20"/>
      <c r="W75" s="20"/>
      <c r="X75" s="32">
        <v>2.170661227702074</v>
      </c>
      <c r="Y75" s="32">
        <v>1.260955704946263</v>
      </c>
      <c r="Z75" s="32">
        <v>1.721441299791399</v>
      </c>
      <c r="AA75" s="20" t="str">
        <f t="shared" si="33"/>
        <v>*</v>
      </c>
    </row>
    <row r="76" spans="1:27" x14ac:dyDescent="0.25">
      <c r="C76" t="s">
        <v>63</v>
      </c>
      <c r="D76" s="32"/>
      <c r="E76" s="32"/>
      <c r="F76" s="32"/>
      <c r="G76" s="20"/>
      <c r="H76">
        <v>-4.0999805560000002</v>
      </c>
      <c r="I76">
        <v>0.73848994000000001</v>
      </c>
      <c r="J76">
        <v>-5.5518434499999998</v>
      </c>
      <c r="K76" s="20"/>
      <c r="L76" s="32"/>
      <c r="M76" s="32"/>
      <c r="N76" s="32"/>
      <c r="O76" s="20" t="str">
        <f t="shared" si="34"/>
        <v/>
      </c>
      <c r="P76">
        <v>-3.3917512859999999</v>
      </c>
      <c r="Q76">
        <v>0.70357238</v>
      </c>
      <c r="R76">
        <v>-4.8207567850000004</v>
      </c>
      <c r="S76" s="20"/>
      <c r="T76" s="20"/>
      <c r="U76" s="20"/>
      <c r="V76" s="20"/>
      <c r="W76" s="20"/>
      <c r="X76" s="32">
        <v>-12.29647912278284</v>
      </c>
      <c r="Y76" s="32">
        <v>5.1010878743959776</v>
      </c>
      <c r="Z76" s="32">
        <v>-2.4105601443376168</v>
      </c>
      <c r="AA76" s="20" t="str">
        <f t="shared" si="33"/>
        <v>**</v>
      </c>
    </row>
    <row r="77" spans="1:27" x14ac:dyDescent="0.25">
      <c r="B77" t="s">
        <v>64</v>
      </c>
      <c r="C77" t="s">
        <v>65</v>
      </c>
      <c r="D77" s="32"/>
      <c r="E77" s="32"/>
      <c r="F77" s="32"/>
      <c r="G77" s="20"/>
      <c r="H77">
        <v>-0.36962945600000002</v>
      </c>
      <c r="I77">
        <v>0.57729702000000005</v>
      </c>
      <c r="J77">
        <v>-0.64027605799999998</v>
      </c>
      <c r="K77" s="20" t="str">
        <f>IF(ABS(J77)&gt;2.576,"***",IF(ABS(J77)&gt;1.96,"**",IF(ABS(J77)&gt;1.645,"*","")))</f>
        <v/>
      </c>
      <c r="L77" s="32"/>
      <c r="M77" s="32"/>
      <c r="N77" s="32"/>
      <c r="O77" s="20" t="str">
        <f t="shared" si="34"/>
        <v/>
      </c>
      <c r="P77">
        <v>-0.97607116199999999</v>
      </c>
      <c r="Q77">
        <v>0.46963607999999996</v>
      </c>
      <c r="R77">
        <v>-2.078356447</v>
      </c>
      <c r="S77" s="20" t="str">
        <f t="shared" ref="S77" si="40">IF(ABS(R77)&gt;2.576,"***",IF(ABS(R77)&gt;1.96,"**",IF(ABS(R77)&gt;1.645,"*","")))</f>
        <v>**</v>
      </c>
      <c r="T77" s="20"/>
      <c r="U77" s="20"/>
      <c r="V77" s="20"/>
      <c r="W77" s="20"/>
      <c r="X77" s="32">
        <v>-0.7023728093913052</v>
      </c>
      <c r="Y77" s="32">
        <v>1.3510931412717662</v>
      </c>
      <c r="Z77" s="32">
        <v>-0.51985521052247441</v>
      </c>
      <c r="AA77" s="20" t="str">
        <f t="shared" si="33"/>
        <v/>
      </c>
    </row>
    <row r="78" spans="1:27" x14ac:dyDescent="0.25">
      <c r="C78" t="s">
        <v>66</v>
      </c>
      <c r="D78" s="32"/>
      <c r="E78" s="32"/>
      <c r="F78" s="32"/>
      <c r="G78" s="20"/>
      <c r="H78">
        <v>-0.67844478900000005</v>
      </c>
      <c r="I78">
        <v>1.1109160999999999</v>
      </c>
      <c r="J78">
        <v>-0.61070749499999999</v>
      </c>
      <c r="K78" s="20"/>
      <c r="L78" s="32"/>
      <c r="M78" s="32"/>
      <c r="N78" s="32"/>
      <c r="O78" s="20" t="str">
        <f t="shared" si="34"/>
        <v/>
      </c>
      <c r="P78">
        <v>-1.836565877</v>
      </c>
      <c r="Q78">
        <v>0.67965567999999998</v>
      </c>
      <c r="R78">
        <v>-2.7022004110000002</v>
      </c>
      <c r="S78" s="20"/>
      <c r="T78" s="20"/>
      <c r="U78" s="20"/>
      <c r="V78" s="20"/>
      <c r="W78" s="20"/>
      <c r="X78" s="32">
        <v>-2.12166827802525</v>
      </c>
      <c r="Y78" s="32">
        <v>1.6485972665718096</v>
      </c>
      <c r="Z78" s="32">
        <v>-1.286953655113825</v>
      </c>
      <c r="AA78" s="20" t="str">
        <f t="shared" si="33"/>
        <v/>
      </c>
    </row>
    <row r="79" spans="1:27" x14ac:dyDescent="0.25">
      <c r="B79" t="s">
        <v>67</v>
      </c>
      <c r="C79" t="s">
        <v>68</v>
      </c>
      <c r="D79" s="32"/>
      <c r="E79" s="32"/>
      <c r="F79" s="32"/>
      <c r="G79" s="20"/>
      <c r="H79">
        <v>-0.30623190300000003</v>
      </c>
      <c r="I79">
        <v>0.58842808000000002</v>
      </c>
      <c r="J79">
        <v>-0.52042367499999997</v>
      </c>
      <c r="K79" s="20" t="str">
        <f>IF(ABS(J79)&gt;2.576,"***",IF(ABS(J79)&gt;1.96,"**",IF(ABS(J79)&gt;1.645,"*","")))</f>
        <v/>
      </c>
      <c r="L79" s="32"/>
      <c r="M79" s="32"/>
      <c r="N79" s="32"/>
      <c r="O79" s="20" t="str">
        <f t="shared" si="34"/>
        <v/>
      </c>
      <c r="P79">
        <v>-1.1943715930000001</v>
      </c>
      <c r="Q79">
        <v>0.49777380000000004</v>
      </c>
      <c r="R79">
        <v>-2.3994264269999999</v>
      </c>
      <c r="S79" s="20" t="str">
        <f t="shared" ref="S79:S84" si="41">IF(ABS(R79)&gt;2.576,"***",IF(ABS(R79)&gt;1.96,"**",IF(ABS(R79)&gt;1.645,"*","")))</f>
        <v>**</v>
      </c>
      <c r="T79" s="20"/>
      <c r="U79" s="20"/>
      <c r="V79" s="20"/>
      <c r="W79" s="20"/>
      <c r="X79" s="32">
        <v>-2.6723911839145041E-2</v>
      </c>
      <c r="Y79" s="32">
        <v>1.2421768647923233</v>
      </c>
      <c r="Z79" s="32">
        <v>-2.1513773599070331E-2</v>
      </c>
      <c r="AA79" s="20" t="str">
        <f t="shared" si="33"/>
        <v/>
      </c>
    </row>
    <row r="80" spans="1:27" x14ac:dyDescent="0.25">
      <c r="C80" t="s">
        <v>69</v>
      </c>
      <c r="D80" s="32"/>
      <c r="E80" s="32"/>
      <c r="F80" s="32"/>
      <c r="G80" s="20"/>
      <c r="H80">
        <v>-3.2010158689999999</v>
      </c>
      <c r="I80">
        <v>0.66848000000000007</v>
      </c>
      <c r="J80">
        <v>-4.7884990969999999</v>
      </c>
      <c r="K80" s="20"/>
      <c r="L80" s="32"/>
      <c r="M80" s="32"/>
      <c r="N80" s="32"/>
      <c r="O80" s="20" t="str">
        <f t="shared" si="34"/>
        <v/>
      </c>
      <c r="P80">
        <v>2.8488690339999998</v>
      </c>
      <c r="Q80">
        <v>0.68820478000000007</v>
      </c>
      <c r="R80">
        <v>4.1395659120000001</v>
      </c>
      <c r="S80" s="20" t="str">
        <f t="shared" si="41"/>
        <v>***</v>
      </c>
      <c r="T80" s="20"/>
      <c r="U80" s="20"/>
      <c r="V80" s="20"/>
      <c r="W80" s="20"/>
      <c r="X80" s="32">
        <v>-3.5128078646197602</v>
      </c>
      <c r="Y80" s="32">
        <v>2.0408398750647341</v>
      </c>
      <c r="Z80" s="32">
        <v>-1.721255992466501</v>
      </c>
      <c r="AA80" s="20" t="str">
        <f t="shared" si="33"/>
        <v>*</v>
      </c>
    </row>
    <row r="81" spans="2:38" x14ac:dyDescent="0.25">
      <c r="F81" s="32"/>
      <c r="G81" s="20"/>
      <c r="H81">
        <v>-30.169092809999999</v>
      </c>
      <c r="I81">
        <v>6.5013584</v>
      </c>
      <c r="J81">
        <v>-4.6404291210000004</v>
      </c>
      <c r="K81" s="20"/>
      <c r="M81" s="32"/>
      <c r="O81" s="20" t="str">
        <f t="shared" si="34"/>
        <v/>
      </c>
      <c r="P81">
        <v>-12.245140960000001</v>
      </c>
      <c r="Q81">
        <v>3.9743299199999997</v>
      </c>
      <c r="R81">
        <v>-3.0810579869999999</v>
      </c>
      <c r="S81" s="20" t="str">
        <f t="shared" si="41"/>
        <v>***</v>
      </c>
      <c r="T81" s="20"/>
      <c r="U81" s="20"/>
      <c r="V81" s="20"/>
      <c r="W81" s="20"/>
      <c r="X81">
        <v>38.690921726812419</v>
      </c>
      <c r="Y81">
        <v>5.6927117446684461</v>
      </c>
      <c r="Z81">
        <v>6.7965713814771513</v>
      </c>
      <c r="AA81" s="20" t="str">
        <f t="shared" si="33"/>
        <v>***</v>
      </c>
    </row>
    <row r="82" spans="2:38" x14ac:dyDescent="0.25">
      <c r="B82" t="s">
        <v>93</v>
      </c>
      <c r="D82" s="32"/>
      <c r="E82" s="32"/>
      <c r="F82" s="32"/>
      <c r="G82" s="20"/>
      <c r="H82">
        <v>-32.976827880000002</v>
      </c>
      <c r="I82">
        <v>7.0729773799999993</v>
      </c>
      <c r="J82">
        <v>-4.6623686270000002</v>
      </c>
      <c r="K82" s="20" t="str">
        <f>IF(ABS(J83)&gt;2.576,"***",IF(ABS(J83)&gt;1.96,"**",IF(ABS(J83)&gt;1.645,"*","")))</f>
        <v>***</v>
      </c>
      <c r="L82" s="32"/>
      <c r="M82" s="32"/>
      <c r="N82" s="32"/>
      <c r="O82" s="20" t="str">
        <f t="shared" si="34"/>
        <v/>
      </c>
      <c r="P82">
        <v>-6.5532085899999997</v>
      </c>
      <c r="Q82">
        <v>2.7240871000000002</v>
      </c>
      <c r="R82">
        <v>-2.4056531099999998</v>
      </c>
      <c r="S82" s="20" t="str">
        <f t="shared" si="41"/>
        <v>**</v>
      </c>
      <c r="T82" s="20"/>
      <c r="U82" s="20"/>
      <c r="V82" s="20"/>
      <c r="W82" s="20"/>
      <c r="X82" s="32">
        <v>30.70631644038798</v>
      </c>
      <c r="Y82" s="32">
        <v>4.7527742305686695</v>
      </c>
      <c r="Z82" s="32">
        <v>6.4607143009008396</v>
      </c>
      <c r="AA82" s="20" t="str">
        <f t="shared" si="33"/>
        <v>***</v>
      </c>
    </row>
    <row r="83" spans="2:38" x14ac:dyDescent="0.25">
      <c r="B83" t="s">
        <v>94</v>
      </c>
      <c r="D83" s="32"/>
      <c r="E83" s="32"/>
      <c r="F83" s="32"/>
      <c r="G83" s="20"/>
      <c r="H83">
        <v>-2.807735069</v>
      </c>
      <c r="I83">
        <v>0.99823174000000003</v>
      </c>
      <c r="J83">
        <v>-2.8127086929999998</v>
      </c>
      <c r="K83" s="20" t="str">
        <f t="shared" ref="K83:K84" si="42">IF(ABS(J84)&gt;2.576,"***",IF(ABS(J84)&gt;1.96,"**",IF(ABS(J84)&gt;1.645,"*","")))</f>
        <v/>
      </c>
      <c r="L83" s="32"/>
      <c r="M83" s="32"/>
      <c r="N83" s="32"/>
      <c r="O83" s="20" t="str">
        <f t="shared" si="34"/>
        <v/>
      </c>
      <c r="P83">
        <v>5.6919323730000002</v>
      </c>
      <c r="Q83">
        <v>1.51765814</v>
      </c>
      <c r="R83">
        <v>3.7504706880000001</v>
      </c>
      <c r="S83" s="20" t="str">
        <f t="shared" si="41"/>
        <v>***</v>
      </c>
      <c r="T83" s="20"/>
      <c r="U83" s="20"/>
      <c r="V83" s="20"/>
      <c r="W83" s="20"/>
      <c r="X83" s="32">
        <v>-7.9846052864244346</v>
      </c>
      <c r="Y83" s="32">
        <v>1.6915028003629573</v>
      </c>
      <c r="Z83" s="32">
        <v>-4.7204209680948326</v>
      </c>
      <c r="AA83" s="20" t="str">
        <f t="shared" si="33"/>
        <v>***</v>
      </c>
    </row>
    <row r="84" spans="2:38" x14ac:dyDescent="0.25">
      <c r="B84" t="s">
        <v>95</v>
      </c>
      <c r="D84" s="32"/>
      <c r="E84" s="32"/>
      <c r="F84" s="32"/>
      <c r="G84" s="20"/>
      <c r="H84" s="30"/>
      <c r="I84" s="30"/>
      <c r="J84" s="30"/>
      <c r="K84" s="20" t="str">
        <f t="shared" si="42"/>
        <v/>
      </c>
      <c r="L84" s="32"/>
      <c r="M84" s="32"/>
      <c r="N84" s="32"/>
      <c r="O84" s="20" t="str">
        <f t="shared" si="34"/>
        <v/>
      </c>
      <c r="P84" s="30"/>
      <c r="Q84" s="30"/>
      <c r="R84" s="30"/>
      <c r="S84" s="20" t="str">
        <f t="shared" si="41"/>
        <v/>
      </c>
      <c r="T84" s="20"/>
      <c r="U84" s="20"/>
      <c r="V84" s="20"/>
      <c r="W84" s="20"/>
      <c r="X84" s="32"/>
      <c r="Y84" s="32"/>
      <c r="Z84" s="32"/>
      <c r="AA84" s="20" t="str">
        <f t="shared" si="33"/>
        <v/>
      </c>
    </row>
    <row r="89" spans="2:38" ht="15.75" thickBot="1" x14ac:dyDescent="0.3"/>
    <row r="90" spans="2:38" ht="15.75" thickBot="1" x14ac:dyDescent="0.3">
      <c r="F90" s="11" t="s">
        <v>128</v>
      </c>
      <c r="G90" s="4" t="s">
        <v>129</v>
      </c>
    </row>
    <row r="91" spans="2:38" x14ac:dyDescent="0.25">
      <c r="D91" s="4" t="s">
        <v>129</v>
      </c>
      <c r="F91" s="6"/>
      <c r="G91" s="5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3"/>
    </row>
    <row r="92" spans="2:38" x14ac:dyDescent="0.25">
      <c r="F92" s="6" t="s">
        <v>100</v>
      </c>
      <c r="G92" s="6"/>
      <c r="H92" t="s">
        <v>97</v>
      </c>
      <c r="I92" t="s">
        <v>97</v>
      </c>
      <c r="J92" t="s">
        <v>98</v>
      </c>
      <c r="K92" t="s">
        <v>97</v>
      </c>
      <c r="L92" t="s">
        <v>22</v>
      </c>
      <c r="M92" t="s">
        <v>22</v>
      </c>
      <c r="N92" t="s">
        <v>22</v>
      </c>
      <c r="O92" t="s">
        <v>130</v>
      </c>
      <c r="P92" t="s">
        <v>99</v>
      </c>
      <c r="Q92" t="s">
        <v>99</v>
      </c>
      <c r="R92" t="s">
        <v>99</v>
      </c>
      <c r="S92" t="s">
        <v>99</v>
      </c>
      <c r="AB92" s="14"/>
    </row>
    <row r="93" spans="2:38" x14ac:dyDescent="0.25">
      <c r="F93" s="6">
        <v>1</v>
      </c>
      <c r="G93" s="6" t="s">
        <v>101</v>
      </c>
      <c r="H93" t="s">
        <v>102</v>
      </c>
      <c r="I93" t="s">
        <v>103</v>
      </c>
      <c r="J93" t="s">
        <v>104</v>
      </c>
      <c r="K93" t="s">
        <v>17</v>
      </c>
      <c r="L93" t="s">
        <v>102</v>
      </c>
      <c r="M93" t="s">
        <v>103</v>
      </c>
      <c r="N93" t="s">
        <v>104</v>
      </c>
      <c r="O93" t="s">
        <v>17</v>
      </c>
      <c r="P93" t="s">
        <v>102</v>
      </c>
      <c r="Q93" t="s">
        <v>103</v>
      </c>
      <c r="R93" t="s">
        <v>104</v>
      </c>
      <c r="S93" t="s">
        <v>17</v>
      </c>
      <c r="V93" s="25" t="s">
        <v>105</v>
      </c>
      <c r="AB93" s="14"/>
      <c r="AD93" s="15"/>
      <c r="AE93" s="15"/>
      <c r="AF93" s="15"/>
      <c r="AG93" s="15"/>
      <c r="AH93" s="15"/>
      <c r="AI93" s="15"/>
      <c r="AJ93" s="15"/>
      <c r="AK93" s="15"/>
      <c r="AL93" s="15"/>
    </row>
    <row r="94" spans="2:38" x14ac:dyDescent="0.25">
      <c r="F94" s="6">
        <v>1</v>
      </c>
      <c r="G94" s="24" t="s">
        <v>106</v>
      </c>
      <c r="H94" s="15">
        <f>H4</f>
        <v>-1.3050734906879389</v>
      </c>
      <c r="I94" s="15" t="str">
        <f>L4</f>
        <v>No corrió</v>
      </c>
      <c r="J94" s="15">
        <f>P4</f>
        <v>-11.547544240000001</v>
      </c>
      <c r="K94" s="15">
        <f>X4</f>
        <v>-25.519501282627122</v>
      </c>
      <c r="L94" s="15">
        <f>I4</f>
        <v>1.8438058611507602</v>
      </c>
      <c r="M94" s="15">
        <f>M4</f>
        <v>0</v>
      </c>
      <c r="N94" s="2">
        <f>Q4</f>
        <v>1.9660370599999999</v>
      </c>
      <c r="O94" s="15">
        <f>Y4</f>
        <v>8.4571349325967233</v>
      </c>
      <c r="P94">
        <f>ABS(H5)</f>
        <v>32.545455445159483</v>
      </c>
      <c r="Q94">
        <f>ABS(L5)</f>
        <v>0</v>
      </c>
      <c r="R94">
        <f>ABS(P5)</f>
        <v>16.016655199999999</v>
      </c>
      <c r="S94">
        <f>ABS(X5)</f>
        <v>56.774038027695475</v>
      </c>
      <c r="V94" s="15">
        <f>H94</f>
        <v>-1.3050734906879389</v>
      </c>
      <c r="W94" s="15" t="str">
        <f t="shared" ref="W94:AG94" si="43">I94</f>
        <v>No corrió</v>
      </c>
      <c r="X94" s="15">
        <f t="shared" si="43"/>
        <v>-11.547544240000001</v>
      </c>
      <c r="Y94" s="15">
        <f t="shared" si="43"/>
        <v>-25.519501282627122</v>
      </c>
      <c r="Z94" s="15">
        <f t="shared" si="43"/>
        <v>1.8438058611507602</v>
      </c>
      <c r="AA94" s="15">
        <f t="shared" si="43"/>
        <v>0</v>
      </c>
      <c r="AB94" s="28">
        <f t="shared" si="43"/>
        <v>1.9660370599999999</v>
      </c>
      <c r="AC94" s="15">
        <f t="shared" si="43"/>
        <v>8.4571349325967233</v>
      </c>
      <c r="AD94" s="15">
        <f t="shared" si="43"/>
        <v>32.545455445159483</v>
      </c>
      <c r="AE94" s="15">
        <f t="shared" si="43"/>
        <v>0</v>
      </c>
      <c r="AF94" s="15">
        <f t="shared" si="43"/>
        <v>16.016655199999999</v>
      </c>
      <c r="AG94" s="15">
        <f t="shared" si="43"/>
        <v>56.774038027695475</v>
      </c>
      <c r="AH94" s="15"/>
      <c r="AI94" s="15"/>
      <c r="AJ94" s="15"/>
    </row>
    <row r="95" spans="2:38" x14ac:dyDescent="0.25">
      <c r="F95" s="6">
        <v>1</v>
      </c>
      <c r="G95" s="24" t="s">
        <v>107</v>
      </c>
      <c r="H95" s="15">
        <f>H6</f>
        <v>1.1522201226548476</v>
      </c>
      <c r="I95" s="15">
        <f>L6</f>
        <v>0</v>
      </c>
      <c r="J95" s="15">
        <f>P6</f>
        <v>-15.9220313</v>
      </c>
      <c r="K95" s="15">
        <f>X6</f>
        <v>-24.358345815439598</v>
      </c>
      <c r="L95" s="15">
        <f>I6</f>
        <v>2.2412128599128383</v>
      </c>
      <c r="M95" s="15">
        <f>M6</f>
        <v>0</v>
      </c>
      <c r="N95" s="15">
        <f>Q6</f>
        <v>2.7067904</v>
      </c>
      <c r="O95" s="15">
        <f>Y6</f>
        <v>8.4561376156694852</v>
      </c>
      <c r="P95">
        <f>ABS(H7)</f>
        <v>38.479230988978344</v>
      </c>
      <c r="Q95">
        <f>ABS(L7)</f>
        <v>0</v>
      </c>
      <c r="R95">
        <f>ABS(P7)</f>
        <v>16.481229460000002</v>
      </c>
      <c r="S95">
        <f>ABS(X7)</f>
        <v>73.113546354401265</v>
      </c>
      <c r="V95" t="str">
        <f t="shared" ref="V95:V102" si="44">_xlfn.CONCAT(V94,", ",H95)</f>
        <v>-1.30507349068794, 1.15222012265485</v>
      </c>
      <c r="W95" t="str">
        <f t="shared" ref="W95:AG102" si="45">_xlfn.CONCAT(W94,", ",I95)</f>
        <v>No corrió, 0</v>
      </c>
      <c r="X95" t="str">
        <f t="shared" si="45"/>
        <v>-11.54754424, -15.9220313</v>
      </c>
      <c r="Y95" t="str">
        <f t="shared" si="45"/>
        <v>-25.5195012826271, -24.3583458154396</v>
      </c>
      <c r="Z95" t="str">
        <f t="shared" si="45"/>
        <v>1.84380586115076, 2.24121285991284</v>
      </c>
      <c r="AA95" t="str">
        <f t="shared" si="45"/>
        <v>0, 0</v>
      </c>
      <c r="AB95" s="14" t="str">
        <f t="shared" si="45"/>
        <v>1.96603706, 2.7067904</v>
      </c>
      <c r="AC95" t="str">
        <f t="shared" si="45"/>
        <v>8.45713493259672, 8.45613761566949</v>
      </c>
      <c r="AD95" t="str">
        <f t="shared" si="45"/>
        <v>32.5454554451595, 38.4792309889783</v>
      </c>
      <c r="AE95" t="str">
        <f t="shared" si="45"/>
        <v>0, 0</v>
      </c>
      <c r="AF95" t="str">
        <f t="shared" si="45"/>
        <v>16.0166552, 16.48122946</v>
      </c>
      <c r="AG95" t="str">
        <f t="shared" si="45"/>
        <v>56.7740380276955, 73.1135463544013</v>
      </c>
    </row>
    <row r="96" spans="2:38" x14ac:dyDescent="0.25">
      <c r="F96" s="6">
        <v>2</v>
      </c>
      <c r="G96" s="24" t="s">
        <v>108</v>
      </c>
      <c r="H96" s="15">
        <f>H8</f>
        <v>-60.770268680429041</v>
      </c>
      <c r="I96" s="15">
        <f>L8</f>
        <v>0</v>
      </c>
      <c r="J96" s="15">
        <f>P8</f>
        <v>-27.580111370000001</v>
      </c>
      <c r="K96" s="15">
        <f>X8</f>
        <v>-27.145653934856959</v>
      </c>
      <c r="L96" s="15">
        <f>I8</f>
        <v>12.065733321875864</v>
      </c>
      <c r="M96" s="15">
        <f>M8</f>
        <v>0</v>
      </c>
      <c r="N96" s="15">
        <f>Q8</f>
        <v>4.3557426399999999</v>
      </c>
      <c r="O96" s="15">
        <f>Y8</f>
        <v>9.0188456957947345</v>
      </c>
      <c r="P96">
        <f>ABS(H9)</f>
        <v>41.588125731965079</v>
      </c>
      <c r="Q96">
        <f>ABS(L9)</f>
        <v>0</v>
      </c>
      <c r="R96">
        <f>ABS(P9)</f>
        <v>9.9915797869999992</v>
      </c>
      <c r="S96">
        <f>ABS(X9)</f>
        <v>68.280838784941778</v>
      </c>
      <c r="V96" t="str">
        <f t="shared" si="44"/>
        <v>-1.30507349068794, 1.15222012265485, -60.770268680429</v>
      </c>
      <c r="W96" t="str">
        <f t="shared" si="45"/>
        <v>No corrió, 0, 0</v>
      </c>
      <c r="X96" t="str">
        <f t="shared" si="45"/>
        <v>-11.54754424, -15.9220313, -27.58011137</v>
      </c>
      <c r="Y96" t="str">
        <f t="shared" si="45"/>
        <v>-25.5195012826271, -24.3583458154396, -27.145653934857</v>
      </c>
      <c r="Z96" t="str">
        <f t="shared" si="45"/>
        <v>1.84380586115076, 2.24121285991284, 12.0657333218759</v>
      </c>
      <c r="AA96" t="str">
        <f t="shared" si="45"/>
        <v>0, 0, 0</v>
      </c>
      <c r="AB96" s="14" t="str">
        <f t="shared" si="45"/>
        <v>1.96603706, 2.7067904, 4.35574264</v>
      </c>
      <c r="AC96" t="str">
        <f t="shared" si="45"/>
        <v>8.45713493259672, 8.45613761566949, 9.01884569579473</v>
      </c>
      <c r="AD96" t="str">
        <f t="shared" si="45"/>
        <v>32.5454554451595, 38.4792309889783, 41.5881257319651</v>
      </c>
      <c r="AE96" t="str">
        <f t="shared" si="45"/>
        <v>0, 0, 0</v>
      </c>
      <c r="AF96" t="str">
        <f t="shared" si="45"/>
        <v>16.0166552, 16.48122946, 9.991579787</v>
      </c>
      <c r="AG96" t="str">
        <f t="shared" si="45"/>
        <v>56.7740380276955, 73.1135463544013, 68.2808387849418</v>
      </c>
    </row>
    <row r="97" spans="4:41" x14ac:dyDescent="0.25">
      <c r="F97" s="6">
        <v>2</v>
      </c>
      <c r="G97" s="6" t="s">
        <v>109</v>
      </c>
      <c r="H97" s="15">
        <f>H12</f>
        <v>6.0209626958168316</v>
      </c>
      <c r="I97" s="15">
        <f>L12</f>
        <v>0</v>
      </c>
      <c r="J97" s="15">
        <f>P12</f>
        <v>2.4969667740000001</v>
      </c>
      <c r="K97" s="15">
        <f>X12</f>
        <v>8.8632683572384821</v>
      </c>
      <c r="L97" s="15">
        <f>I12</f>
        <v>1.816591500587831</v>
      </c>
      <c r="M97" s="15">
        <f>M12</f>
        <v>0</v>
      </c>
      <c r="N97" s="15">
        <f>Q12</f>
        <v>0.94383006000000003</v>
      </c>
      <c r="O97" s="15">
        <f>Y12</f>
        <v>3.3052407299600977</v>
      </c>
      <c r="P97">
        <f>ABS(H13)</f>
        <v>12.198675194342359</v>
      </c>
      <c r="Q97">
        <f>ABS(L13)</f>
        <v>0</v>
      </c>
      <c r="R97">
        <f>ABS(P13)</f>
        <v>4.8012627910000001</v>
      </c>
      <c r="S97">
        <f>ABS(X13)</f>
        <v>0.9845952095638113</v>
      </c>
      <c r="V97" t="str">
        <f t="shared" si="44"/>
        <v>-1.30507349068794, 1.15222012265485, -60.770268680429, 6.02096269581683</v>
      </c>
      <c r="W97" t="str">
        <f t="shared" si="45"/>
        <v>No corrió, 0, 0, 0</v>
      </c>
      <c r="X97" t="str">
        <f t="shared" si="45"/>
        <v>-11.54754424, -15.9220313, -27.58011137, 2.496966774</v>
      </c>
      <c r="Y97" t="str">
        <f t="shared" si="45"/>
        <v>-25.5195012826271, -24.3583458154396, -27.145653934857, 8.86326835723848</v>
      </c>
      <c r="Z97" t="str">
        <f t="shared" si="45"/>
        <v>1.84380586115076, 2.24121285991284, 12.0657333218759, 1.81659150058783</v>
      </c>
      <c r="AA97" t="str">
        <f t="shared" si="45"/>
        <v>0, 0, 0, 0</v>
      </c>
      <c r="AB97" s="14" t="str">
        <f t="shared" si="45"/>
        <v>1.96603706, 2.7067904, 4.35574264, 0.94383006</v>
      </c>
      <c r="AC97" t="str">
        <f t="shared" si="45"/>
        <v>8.45713493259672, 8.45613761566949, 9.01884569579473, 3.3052407299601</v>
      </c>
      <c r="AD97" t="str">
        <f t="shared" si="45"/>
        <v>32.5454554451595, 38.4792309889783, 41.5881257319651, 12.1986751943424</v>
      </c>
      <c r="AE97" t="str">
        <f t="shared" si="45"/>
        <v>0, 0, 0, 0</v>
      </c>
      <c r="AF97" t="str">
        <f t="shared" si="45"/>
        <v>16.0166552, 16.48122946, 9.991579787, 4.801262791</v>
      </c>
      <c r="AG97" t="str">
        <f t="shared" si="45"/>
        <v>56.7740380276955, 73.1135463544013, 68.2808387849418, 0.984595209563811</v>
      </c>
    </row>
    <row r="98" spans="4:41" x14ac:dyDescent="0.25">
      <c r="F98" s="6">
        <v>2</v>
      </c>
      <c r="G98" s="6" t="s">
        <v>110</v>
      </c>
      <c r="H98" s="15">
        <f>H14</f>
        <v>10.003308538789868</v>
      </c>
      <c r="I98" s="15">
        <f>L14</f>
        <v>0</v>
      </c>
      <c r="J98" s="15">
        <f>P14</f>
        <v>4.8440683660000001</v>
      </c>
      <c r="K98" s="15">
        <f>X14</f>
        <v>18.544241639439964</v>
      </c>
      <c r="L98" s="15">
        <f>I14</f>
        <v>2.244971939448356</v>
      </c>
      <c r="M98" s="15">
        <f>M14</f>
        <v>0</v>
      </c>
      <c r="N98" s="15">
        <f>Q14</f>
        <v>1.1320615000000001</v>
      </c>
      <c r="O98" s="15">
        <f>Y14</f>
        <v>6.2357966388025794</v>
      </c>
      <c r="P98">
        <f>ABS(H15)</f>
        <v>0.83918031166136031</v>
      </c>
      <c r="Q98">
        <f>ABS(L15)</f>
        <v>0</v>
      </c>
      <c r="R98">
        <f>ABS(P15)</f>
        <v>6.6288868670000003</v>
      </c>
      <c r="S98">
        <f>ABS(X15)</f>
        <v>10.241830848821865</v>
      </c>
      <c r="V98" t="str">
        <f t="shared" si="44"/>
        <v>-1.30507349068794, 1.15222012265485, -60.770268680429, 6.02096269581683, 10.0033085387899</v>
      </c>
      <c r="W98" t="str">
        <f t="shared" si="45"/>
        <v>No corrió, 0, 0, 0, 0</v>
      </c>
      <c r="X98" t="str">
        <f t="shared" si="45"/>
        <v>-11.54754424, -15.9220313, -27.58011137, 2.496966774, 4.844068366</v>
      </c>
      <c r="Y98" t="str">
        <f t="shared" si="45"/>
        <v>-25.5195012826271, -24.3583458154396, -27.145653934857, 8.86326835723848, 18.54424163944</v>
      </c>
      <c r="Z98" t="str">
        <f t="shared" si="45"/>
        <v>1.84380586115076, 2.24121285991284, 12.0657333218759, 1.81659150058783, 2.24497193944836</v>
      </c>
      <c r="AA98" t="str">
        <f t="shared" si="45"/>
        <v>0, 0, 0, 0, 0</v>
      </c>
      <c r="AB98" s="14" t="str">
        <f t="shared" si="45"/>
        <v>1.96603706, 2.7067904, 4.35574264, 0.94383006, 1.1320615</v>
      </c>
      <c r="AC98" t="str">
        <f t="shared" si="45"/>
        <v>8.45713493259672, 8.45613761566949, 9.01884569579473, 3.3052407299601, 6.23579663880258</v>
      </c>
      <c r="AD98" t="str">
        <f t="shared" si="45"/>
        <v>32.5454554451595, 38.4792309889783, 41.5881257319651, 12.1986751943424, 0.83918031166136</v>
      </c>
      <c r="AE98" t="str">
        <f t="shared" si="45"/>
        <v>0, 0, 0, 0, 0</v>
      </c>
      <c r="AF98" t="str">
        <f t="shared" si="45"/>
        <v>16.0166552, 16.48122946, 9.991579787, 4.801262791, 6.628886867</v>
      </c>
      <c r="AG98" t="str">
        <f t="shared" si="45"/>
        <v>56.7740380276955, 73.1135463544013, 68.2808387849418, 0.984595209563811, 10.2418308488219</v>
      </c>
    </row>
    <row r="99" spans="4:41" x14ac:dyDescent="0.25">
      <c r="F99" s="6">
        <v>3</v>
      </c>
      <c r="G99" s="6" t="s">
        <v>111</v>
      </c>
      <c r="H99" s="15">
        <f>H16</f>
        <v>5.2729673250086488</v>
      </c>
      <c r="I99" s="15">
        <f>L16</f>
        <v>0</v>
      </c>
      <c r="J99" s="15">
        <f>P16</f>
        <v>3.4428195700000002</v>
      </c>
      <c r="K99" s="15">
        <f>X16</f>
        <v>9.5695846646512113</v>
      </c>
      <c r="L99" s="15">
        <f>I16</f>
        <v>1.776370777417223</v>
      </c>
      <c r="M99" s="15">
        <f>M16</f>
        <v>0</v>
      </c>
      <c r="N99" s="15">
        <f>Q16</f>
        <v>0.97800942000000002</v>
      </c>
      <c r="O99" s="15">
        <f>Y16</f>
        <v>3.5101677121966861</v>
      </c>
      <c r="P99">
        <f>ABS(H17)</f>
        <v>0.32687848314869483</v>
      </c>
      <c r="Q99">
        <f>ABS(L17)</f>
        <v>0</v>
      </c>
      <c r="R99">
        <f>ABS(P17)</f>
        <v>3.7580902379999999</v>
      </c>
      <c r="S99">
        <f>ABS(X17)</f>
        <v>4.11470439010417</v>
      </c>
      <c r="V99" t="str">
        <f t="shared" si="44"/>
        <v>-1.30507349068794, 1.15222012265485, -60.770268680429, 6.02096269581683, 10.0033085387899, 5.27296732500865</v>
      </c>
      <c r="W99" t="str">
        <f t="shared" si="45"/>
        <v>No corrió, 0, 0, 0, 0, 0</v>
      </c>
      <c r="X99" t="str">
        <f t="shared" si="45"/>
        <v>-11.54754424, -15.9220313, -27.58011137, 2.496966774, 4.844068366, 3.44281957</v>
      </c>
      <c r="Y99" t="str">
        <f t="shared" si="45"/>
        <v>-25.5195012826271, -24.3583458154396, -27.145653934857, 8.86326835723848, 18.54424163944, 9.56958466465121</v>
      </c>
      <c r="Z99" t="str">
        <f t="shared" si="45"/>
        <v>1.84380586115076, 2.24121285991284, 12.0657333218759, 1.81659150058783, 2.24497193944836, 1.77637077741722</v>
      </c>
      <c r="AA99" t="str">
        <f t="shared" si="45"/>
        <v>0, 0, 0, 0, 0, 0</v>
      </c>
      <c r="AB99" s="14" t="str">
        <f t="shared" si="45"/>
        <v>1.96603706, 2.7067904, 4.35574264, 0.94383006, 1.1320615, 0.97800942</v>
      </c>
      <c r="AC99" t="str">
        <f t="shared" si="45"/>
        <v>8.45713493259672, 8.45613761566949, 9.01884569579473, 3.3052407299601, 6.23579663880258, 3.51016771219669</v>
      </c>
      <c r="AD99" t="str">
        <f t="shared" si="45"/>
        <v>32.5454554451595, 38.4792309889783, 41.5881257319651, 12.1986751943424, 0.83918031166136, 0.326878483148695</v>
      </c>
      <c r="AE99" t="str">
        <f t="shared" si="45"/>
        <v>0, 0, 0, 0, 0, 0</v>
      </c>
      <c r="AF99" t="str">
        <f t="shared" si="45"/>
        <v>16.0166552, 16.48122946, 9.991579787, 4.801262791, 6.628886867, 3.758090238</v>
      </c>
      <c r="AG99" t="str">
        <f t="shared" si="45"/>
        <v>56.7740380276955, 73.1135463544013, 68.2808387849418, 0.984595209563811, 10.2418308488219, 4.11470439010417</v>
      </c>
    </row>
    <row r="100" spans="4:41" x14ac:dyDescent="0.25">
      <c r="F100" s="6">
        <v>3</v>
      </c>
      <c r="G100" s="6" t="s">
        <v>58</v>
      </c>
      <c r="H100" s="15">
        <f>H18</f>
        <v>3.869597157443212</v>
      </c>
      <c r="I100" s="15">
        <f>L18</f>
        <v>0</v>
      </c>
      <c r="J100" s="15">
        <f>P18</f>
        <v>1.6658071640000001</v>
      </c>
      <c r="K100" s="15">
        <f>X18</f>
        <v>8.9088099278159767</v>
      </c>
      <c r="L100" s="15">
        <f>I18</f>
        <v>1.4333549392460037</v>
      </c>
      <c r="M100" s="15">
        <f>M18</f>
        <v>0</v>
      </c>
      <c r="N100" s="15">
        <f>Q18</f>
        <v>0.72946701999999997</v>
      </c>
      <c r="O100" s="15">
        <f>Y18</f>
        <v>3.225011147874536</v>
      </c>
      <c r="P100">
        <f>ABS(H19)</f>
        <v>12.87000232441482</v>
      </c>
      <c r="Q100">
        <f>ABS(L19)</f>
        <v>0</v>
      </c>
      <c r="R100">
        <f>ABS(P19)</f>
        <v>4.0454447010000001</v>
      </c>
      <c r="S100">
        <f>ABS(X19)</f>
        <v>8.1806893583919837</v>
      </c>
      <c r="V100" t="str">
        <f t="shared" si="44"/>
        <v>-1.30507349068794, 1.15222012265485, -60.770268680429, 6.02096269581683, 10.0033085387899, 5.27296732500865, 3.86959715744321</v>
      </c>
      <c r="W100" t="str">
        <f t="shared" si="45"/>
        <v>No corrió, 0, 0, 0, 0, 0, 0</v>
      </c>
      <c r="X100" t="str">
        <f t="shared" si="45"/>
        <v>-11.54754424, -15.9220313, -27.58011137, 2.496966774, 4.844068366, 3.44281957, 1.665807164</v>
      </c>
      <c r="Y100" t="str">
        <f t="shared" si="45"/>
        <v>-25.5195012826271, -24.3583458154396, -27.145653934857, 8.86326835723848, 18.54424163944, 9.56958466465121, 8.90880992781598</v>
      </c>
      <c r="Z100" t="str">
        <f t="shared" si="45"/>
        <v>1.84380586115076, 2.24121285991284, 12.0657333218759, 1.81659150058783, 2.24497193944836, 1.77637077741722, 1.433354939246</v>
      </c>
      <c r="AA100" t="str">
        <f t="shared" si="45"/>
        <v>0, 0, 0, 0, 0, 0, 0</v>
      </c>
      <c r="AB100" s="14" t="str">
        <f t="shared" si="45"/>
        <v>1.96603706, 2.7067904, 4.35574264, 0.94383006, 1.1320615, 0.97800942, 0.72946702</v>
      </c>
      <c r="AC100" t="str">
        <f t="shared" si="45"/>
        <v>8.45713493259672, 8.45613761566949, 9.01884569579473, 3.3052407299601, 6.23579663880258, 3.51016771219669, 3.22501114787454</v>
      </c>
      <c r="AD100" t="str">
        <f t="shared" si="45"/>
        <v>32.5454554451595, 38.4792309889783, 41.5881257319651, 12.1986751943424, 0.83918031166136, 0.326878483148695, 12.8700023244148</v>
      </c>
      <c r="AE100" t="str">
        <f t="shared" si="45"/>
        <v>0, 0, 0, 0, 0, 0, 0</v>
      </c>
      <c r="AF100" t="str">
        <f t="shared" si="45"/>
        <v>16.0166552, 16.48122946, 9.991579787, 4.801262791, 6.628886867, 3.758090238, 4.045444701</v>
      </c>
      <c r="AG100" t="str">
        <f t="shared" si="45"/>
        <v>56.7740380276955, 73.1135463544013, 68.2808387849418, 0.984595209563811, 10.2418308488219, 4.11470439010417, 8.18068935839198</v>
      </c>
    </row>
    <row r="101" spans="4:41" x14ac:dyDescent="0.25">
      <c r="F101" s="6">
        <v>4</v>
      </c>
      <c r="G101" s="6" t="s">
        <v>61</v>
      </c>
      <c r="H101" s="15">
        <f>H20</f>
        <v>-2.0976589936828622</v>
      </c>
      <c r="I101" s="15">
        <f>L20</f>
        <v>0</v>
      </c>
      <c r="J101" s="15">
        <f>P20</f>
        <v>0.65518591199999998</v>
      </c>
      <c r="K101" s="15">
        <f>X20</f>
        <v>3.3525077536560097</v>
      </c>
      <c r="L101" s="15">
        <f>I20</f>
        <v>1.3038237212432526</v>
      </c>
      <c r="M101" s="15">
        <f>M20</f>
        <v>0</v>
      </c>
      <c r="N101" s="15">
        <f>Q20</f>
        <v>0.75231457999999996</v>
      </c>
      <c r="O101" s="15">
        <f>Y20</f>
        <v>1.52711437333322</v>
      </c>
      <c r="P101">
        <f>ABS(H21)</f>
        <v>9.9136152677202087</v>
      </c>
      <c r="Q101">
        <f>ABS(L21)</f>
        <v>0</v>
      </c>
      <c r="R101">
        <f>ABS(P21)</f>
        <v>6.0102593820000001</v>
      </c>
      <c r="S101">
        <f>ABS(X21)</f>
        <v>4.9879828748105099</v>
      </c>
      <c r="V101" t="str">
        <f t="shared" si="44"/>
        <v>-1.30507349068794, 1.15222012265485, -60.770268680429, 6.02096269581683, 10.0033085387899, 5.27296732500865, 3.86959715744321, -2.09765899368286</v>
      </c>
      <c r="W101" t="str">
        <f t="shared" si="45"/>
        <v>No corrió, 0, 0, 0, 0, 0, 0, 0</v>
      </c>
      <c r="X101" t="str">
        <f t="shared" si="45"/>
        <v>-11.54754424, -15.9220313, -27.58011137, 2.496966774, 4.844068366, 3.44281957, 1.665807164, 0.655185912</v>
      </c>
      <c r="Y101" t="str">
        <f t="shared" si="45"/>
        <v>-25.5195012826271, -24.3583458154396, -27.145653934857, 8.86326835723848, 18.54424163944, 9.56958466465121, 8.90880992781598, 3.35250775365601</v>
      </c>
      <c r="Z101" t="str">
        <f t="shared" si="45"/>
        <v>1.84380586115076, 2.24121285991284, 12.0657333218759, 1.81659150058783, 2.24497193944836, 1.77637077741722, 1.433354939246, 1.30382372124325</v>
      </c>
      <c r="AA101" t="str">
        <f t="shared" si="45"/>
        <v>0, 0, 0, 0, 0, 0, 0, 0</v>
      </c>
      <c r="AB101" s="14" t="str">
        <f t="shared" si="45"/>
        <v>1.96603706, 2.7067904, 4.35574264, 0.94383006, 1.1320615, 0.97800942, 0.72946702, 0.75231458</v>
      </c>
      <c r="AC101" t="str">
        <f t="shared" si="45"/>
        <v>8.45713493259672, 8.45613761566949, 9.01884569579473, 3.3052407299601, 6.23579663880258, 3.51016771219669, 3.22501114787454, 1.52711437333322</v>
      </c>
      <c r="AD101" t="str">
        <f t="shared" si="45"/>
        <v>32.5454554451595, 38.4792309889783, 41.5881257319651, 12.1986751943424, 0.83918031166136, 0.326878483148695, 12.8700023244148, 9.91361526772021</v>
      </c>
      <c r="AE101" t="str">
        <f t="shared" si="45"/>
        <v>0, 0, 0, 0, 0, 0, 0, 0</v>
      </c>
      <c r="AF101" t="str">
        <f t="shared" si="45"/>
        <v>16.0166552, 16.48122946, 9.991579787, 4.801262791, 6.628886867, 3.758090238, 4.045444701, 6.010259382</v>
      </c>
      <c r="AG101" t="str">
        <f t="shared" si="45"/>
        <v>56.7740380276955, 73.1135463544013, 68.2808387849418, 0.984595209563811, 10.2418308488219, 4.11470439010417, 8.18068935839198, 4.98798287481051</v>
      </c>
      <c r="AN101" s="6"/>
      <c r="AO101" s="6"/>
    </row>
    <row r="102" spans="4:41" x14ac:dyDescent="0.25">
      <c r="F102" s="6">
        <v>4</v>
      </c>
      <c r="G102" s="6" t="s">
        <v>112</v>
      </c>
      <c r="H102" s="15">
        <f>H22</f>
        <v>1.3104045467240557</v>
      </c>
      <c r="I102" s="15">
        <f>L22</f>
        <v>0</v>
      </c>
      <c r="J102" s="15">
        <f>P22</f>
        <v>-1.4396527729999999</v>
      </c>
      <c r="K102" s="15">
        <f>X22</f>
        <v>-3.0364412864898362</v>
      </c>
      <c r="L102" s="15">
        <f>I22</f>
        <v>1.1981984311062883</v>
      </c>
      <c r="M102" s="15">
        <f>M22</f>
        <v>0</v>
      </c>
      <c r="N102" s="15">
        <f>Q22</f>
        <v>0.71567641999999998</v>
      </c>
      <c r="O102" s="15">
        <f>Y22</f>
        <v>1.5731775313713152</v>
      </c>
      <c r="P102">
        <f>ABS(H23)</f>
        <v>10.870137022407773</v>
      </c>
      <c r="Q102">
        <f>ABS(L23)</f>
        <v>0</v>
      </c>
      <c r="R102">
        <f>ABS(P23)</f>
        <v>6.1711275690000003</v>
      </c>
      <c r="S102">
        <f>ABS(X23)</f>
        <v>3.3187896871457219</v>
      </c>
      <c r="V102" t="str">
        <f t="shared" si="44"/>
        <v>-1.30507349068794, 1.15222012265485, -60.770268680429, 6.02096269581683, 10.0033085387899, 5.27296732500865, 3.86959715744321, -2.09765899368286, 1.31040454672406</v>
      </c>
      <c r="W102" t="str">
        <f t="shared" si="45"/>
        <v>No corrió, 0, 0, 0, 0, 0, 0, 0, 0</v>
      </c>
      <c r="X102" t="str">
        <f t="shared" si="45"/>
        <v>-11.54754424, -15.9220313, -27.58011137, 2.496966774, 4.844068366, 3.44281957, 1.665807164, 0.655185912, -1.439652773</v>
      </c>
      <c r="Y102" t="str">
        <f t="shared" si="45"/>
        <v>-25.5195012826271, -24.3583458154396, -27.145653934857, 8.86326835723848, 18.54424163944, 9.56958466465121, 8.90880992781598, 3.35250775365601, -3.03644128648984</v>
      </c>
      <c r="Z102" t="str">
        <f t="shared" si="45"/>
        <v>1.84380586115076, 2.24121285991284, 12.0657333218759, 1.81659150058783, 2.24497193944836, 1.77637077741722, 1.433354939246, 1.30382372124325, 1.19819843110629</v>
      </c>
      <c r="AA102" t="str">
        <f t="shared" si="45"/>
        <v>0, 0, 0, 0, 0, 0, 0, 0, 0</v>
      </c>
      <c r="AB102" s="14" t="str">
        <f t="shared" si="45"/>
        <v>1.96603706, 2.7067904, 4.35574264, 0.94383006, 1.1320615, 0.97800942, 0.72946702, 0.75231458, 0.71567642</v>
      </c>
      <c r="AC102" t="str">
        <f t="shared" si="45"/>
        <v>8.45713493259672, 8.45613761566949, 9.01884569579473, 3.3052407299601, 6.23579663880258, 3.51016771219669, 3.22501114787454, 1.52711437333322, 1.57317753137132</v>
      </c>
      <c r="AD102" t="str">
        <f t="shared" si="45"/>
        <v>32.5454554451595, 38.4792309889783, 41.5881257319651, 12.1986751943424, 0.83918031166136, 0.326878483148695, 12.8700023244148, 9.91361526772021, 10.8701370224078</v>
      </c>
      <c r="AE102" t="str">
        <f t="shared" si="45"/>
        <v>0, 0, 0, 0, 0, 0, 0, 0, 0</v>
      </c>
      <c r="AF102" t="str">
        <f t="shared" si="45"/>
        <v>16.0166552, 16.48122946, 9.991579787, 4.801262791, 6.628886867, 3.758090238, 4.045444701, 6.010259382, 6.171127569</v>
      </c>
      <c r="AG102" t="str">
        <f t="shared" si="45"/>
        <v>56.7740380276955, 73.1135463544013, 68.2808387849418, 0.984595209563811, 10.2418308488219, 4.11470439010417, 8.18068935839198, 4.98798287481051, 3.31878968714572</v>
      </c>
    </row>
    <row r="103" spans="4:41" x14ac:dyDescent="0.25">
      <c r="F103" s="6">
        <v>5</v>
      </c>
      <c r="G103" s="6" t="s">
        <v>113</v>
      </c>
      <c r="H103" s="15">
        <f>H24</f>
        <v>1.3866203802036672</v>
      </c>
      <c r="I103" s="15">
        <f>L24</f>
        <v>0</v>
      </c>
      <c r="J103" s="15">
        <f>P24</f>
        <v>-1.483074147</v>
      </c>
      <c r="K103" s="15">
        <f>X24</f>
        <v>-4.5615851235564921</v>
      </c>
      <c r="L103" s="15">
        <f>I24</f>
        <v>1.1025218929547949</v>
      </c>
      <c r="M103" s="15">
        <f>M24</f>
        <v>0</v>
      </c>
      <c r="N103" s="15">
        <f>Q24</f>
        <v>0.66195453999999998</v>
      </c>
      <c r="O103" s="15">
        <f>Y24</f>
        <v>1.9164953928138562</v>
      </c>
      <c r="P103">
        <f>ABS(H25)</f>
        <v>16.040761560976026</v>
      </c>
      <c r="Q103">
        <f>ABS(L25)</f>
        <v>0</v>
      </c>
      <c r="R103">
        <f>ABS(P25)</f>
        <v>7.0839868629999998</v>
      </c>
      <c r="S103">
        <f>ABS(X25)</f>
        <v>8.546797357642026</v>
      </c>
      <c r="V103" s="22" t="s">
        <v>176</v>
      </c>
      <c r="W103" s="22" t="s">
        <v>135</v>
      </c>
      <c r="X103" s="22" t="s">
        <v>177</v>
      </c>
      <c r="Y103" s="22" t="s">
        <v>178</v>
      </c>
      <c r="Z103" s="27" t="s">
        <v>224</v>
      </c>
      <c r="AA103" s="27" t="s">
        <v>135</v>
      </c>
      <c r="AB103" s="48" t="s">
        <v>225</v>
      </c>
      <c r="AC103" s="27" t="s">
        <v>226</v>
      </c>
      <c r="AD103" s="26" t="s">
        <v>179</v>
      </c>
      <c r="AE103" s="26" t="s">
        <v>135</v>
      </c>
      <c r="AF103" s="26" t="s">
        <v>180</v>
      </c>
      <c r="AG103" s="26" t="s">
        <v>181</v>
      </c>
    </row>
    <row r="104" spans="4:41" x14ac:dyDescent="0.25">
      <c r="F104" s="6">
        <v>5</v>
      </c>
      <c r="G104" s="6" t="s">
        <v>114</v>
      </c>
      <c r="H104" s="15">
        <f>H27</f>
        <v>-61.92248880308388</v>
      </c>
      <c r="I104" s="15">
        <f>L27</f>
        <v>0</v>
      </c>
      <c r="J104" s="15">
        <f>P27</f>
        <v>-11.65808008</v>
      </c>
      <c r="K104" s="15">
        <f>X27</f>
        <v>-2.7873081194173599</v>
      </c>
      <c r="L104" s="15">
        <f>I27</f>
        <v>16.154164408987018</v>
      </c>
      <c r="M104" s="15">
        <f>M27</f>
        <v>0</v>
      </c>
      <c r="N104" s="15">
        <f>Q27</f>
        <v>2.8194925399999997</v>
      </c>
      <c r="O104" s="15">
        <f>Y27</f>
        <v>9.0846894000122003</v>
      </c>
      <c r="Q104" s="15"/>
      <c r="R104" s="15"/>
      <c r="S104" s="15"/>
      <c r="T104" s="15"/>
      <c r="AB104" s="14"/>
    </row>
    <row r="105" spans="4:41" ht="15.75" thickBot="1" x14ac:dyDescent="0.3">
      <c r="F105" s="8">
        <v>5</v>
      </c>
      <c r="G105" s="6" t="s">
        <v>115</v>
      </c>
      <c r="H105" s="15">
        <f>H28</f>
        <v>-2.4572936133427863</v>
      </c>
      <c r="I105" s="15">
        <f>L28</f>
        <v>0</v>
      </c>
      <c r="J105" s="15">
        <f>P28</f>
        <v>4.3744870579999997</v>
      </c>
      <c r="K105" s="15">
        <f>X28</f>
        <v>-1.1611554671875179</v>
      </c>
      <c r="L105" s="15">
        <f>I28</f>
        <v>1.1477409418066029</v>
      </c>
      <c r="M105" s="15">
        <f>M28</f>
        <v>0</v>
      </c>
      <c r="N105" s="15">
        <f>Q28</f>
        <v>1.97021304</v>
      </c>
      <c r="O105" s="15">
        <f>Y28</f>
        <v>2.4137638506319057</v>
      </c>
      <c r="AB105" s="14"/>
    </row>
    <row r="106" spans="4:41" ht="15.75" thickBot="1" x14ac:dyDescent="0.3">
      <c r="F106" s="11" t="s">
        <v>131</v>
      </c>
      <c r="G106" s="8" t="s">
        <v>116</v>
      </c>
      <c r="H106" s="16">
        <f>H9</f>
        <v>41.588125731965079</v>
      </c>
      <c r="I106" s="16">
        <f>L29</f>
        <v>0</v>
      </c>
      <c r="J106" s="16">
        <f>P29</f>
        <v>0</v>
      </c>
      <c r="K106" s="16">
        <f>X29</f>
        <v>0</v>
      </c>
      <c r="L106" s="16">
        <f>I29</f>
        <v>0</v>
      </c>
      <c r="M106" s="16">
        <f>M29</f>
        <v>0</v>
      </c>
      <c r="N106" s="16">
        <f>Q29</f>
        <v>0</v>
      </c>
      <c r="O106" s="16">
        <f>Y29</f>
        <v>0</v>
      </c>
      <c r="P106" s="9"/>
      <c r="Q106" s="9"/>
      <c r="R106" s="16"/>
      <c r="S106" s="16"/>
      <c r="T106" s="9"/>
      <c r="U106" s="9"/>
      <c r="V106" s="9"/>
      <c r="W106" s="9"/>
      <c r="X106" s="9"/>
      <c r="Y106" s="9"/>
      <c r="Z106" s="9"/>
      <c r="AA106" s="9"/>
      <c r="AB106" s="17"/>
    </row>
    <row r="107" spans="4:41" ht="15.75" thickBot="1" x14ac:dyDescent="0.3">
      <c r="F107" s="6"/>
      <c r="G107" s="36" t="s">
        <v>132</v>
      </c>
    </row>
    <row r="108" spans="4:41" x14ac:dyDescent="0.25">
      <c r="D108" s="4" t="s">
        <v>132</v>
      </c>
      <c r="F108" s="6" t="s">
        <v>100</v>
      </c>
      <c r="G108" s="5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3"/>
    </row>
    <row r="109" spans="4:41" x14ac:dyDescent="0.25">
      <c r="F109" s="6">
        <v>1</v>
      </c>
      <c r="G109" s="6"/>
      <c r="H109" t="s">
        <v>97</v>
      </c>
      <c r="I109" t="s">
        <v>97</v>
      </c>
      <c r="J109" t="s">
        <v>98</v>
      </c>
      <c r="K109" t="s">
        <v>97</v>
      </c>
      <c r="L109" t="s">
        <v>22</v>
      </c>
      <c r="M109" t="s">
        <v>22</v>
      </c>
      <c r="N109" t="s">
        <v>22</v>
      </c>
      <c r="O109" t="s">
        <v>22</v>
      </c>
      <c r="P109" t="s">
        <v>99</v>
      </c>
      <c r="Q109" t="s">
        <v>99</v>
      </c>
      <c r="R109" t="s">
        <v>99</v>
      </c>
      <c r="S109" t="s">
        <v>99</v>
      </c>
      <c r="AB109" s="14"/>
    </row>
    <row r="110" spans="4:41" x14ac:dyDescent="0.25">
      <c r="F110" s="6">
        <v>1</v>
      </c>
      <c r="G110" s="6" t="s">
        <v>101</v>
      </c>
      <c r="H110" t="s">
        <v>102</v>
      </c>
      <c r="I110" t="s">
        <v>103</v>
      </c>
      <c r="J110" t="s">
        <v>104</v>
      </c>
      <c r="K110" t="s">
        <v>17</v>
      </c>
      <c r="L110" t="s">
        <v>102</v>
      </c>
      <c r="M110" t="s">
        <v>103</v>
      </c>
      <c r="N110" t="s">
        <v>104</v>
      </c>
      <c r="O110" t="s">
        <v>17</v>
      </c>
      <c r="P110" t="s">
        <v>102</v>
      </c>
      <c r="Q110" t="s">
        <v>103</v>
      </c>
      <c r="R110" t="s">
        <v>104</v>
      </c>
      <c r="S110" t="s">
        <v>17</v>
      </c>
      <c r="V110" s="25" t="s">
        <v>105</v>
      </c>
      <c r="AB110" s="14"/>
      <c r="AD110" s="15"/>
      <c r="AE110" s="15"/>
      <c r="AF110" s="15"/>
      <c r="AG110" s="15"/>
      <c r="AH110" s="15"/>
      <c r="AI110" s="15"/>
      <c r="AJ110" s="15"/>
      <c r="AK110" s="15"/>
      <c r="AL110" s="15"/>
    </row>
    <row r="111" spans="4:41" x14ac:dyDescent="0.25">
      <c r="F111" s="6">
        <v>1</v>
      </c>
      <c r="G111" s="24" t="s">
        <v>106</v>
      </c>
      <c r="H111" s="15">
        <f>H32</f>
        <v>-6.207653648574488</v>
      </c>
      <c r="I111" s="15">
        <f>L32</f>
        <v>-1.7229701681867677</v>
      </c>
      <c r="J111" s="15">
        <f>P32</f>
        <v>-18.499864878423608</v>
      </c>
      <c r="K111" s="15">
        <f>X32</f>
        <v>-8.7411389478534005</v>
      </c>
      <c r="L111" s="15">
        <f>I32</f>
        <v>1.9978900334916219</v>
      </c>
      <c r="M111" s="15">
        <f>M32</f>
        <v>12.76150982653049</v>
      </c>
      <c r="N111" s="15">
        <f>Q32</f>
        <v>4.2039329300588744</v>
      </c>
      <c r="O111" s="15">
        <f>Y32</f>
        <v>2.8574929978289259</v>
      </c>
      <c r="P111">
        <f>ABS(H33)</f>
        <v>34.629089193322237</v>
      </c>
      <c r="Q111">
        <f>ABS(P33)</f>
        <v>17.885605119628831</v>
      </c>
      <c r="R111">
        <f>ABS(P33)</f>
        <v>17.885605119628831</v>
      </c>
      <c r="S111">
        <f>ABS(X33)</f>
        <v>55.05566671561246</v>
      </c>
      <c r="V111" s="15">
        <f>H111</f>
        <v>-6.207653648574488</v>
      </c>
      <c r="W111" s="15">
        <f t="shared" ref="W111:AG111" si="46">I111</f>
        <v>-1.7229701681867677</v>
      </c>
      <c r="X111" s="15">
        <f>J111</f>
        <v>-18.499864878423608</v>
      </c>
      <c r="Y111" s="15">
        <f t="shared" si="46"/>
        <v>-8.7411389478534005</v>
      </c>
      <c r="Z111" s="15">
        <f t="shared" si="46"/>
        <v>1.9978900334916219</v>
      </c>
      <c r="AA111" s="15">
        <f>M111</f>
        <v>12.76150982653049</v>
      </c>
      <c r="AB111" s="28">
        <f t="shared" si="46"/>
        <v>4.2039329300588744</v>
      </c>
      <c r="AC111" s="15">
        <f t="shared" si="46"/>
        <v>2.8574929978289259</v>
      </c>
      <c r="AD111" s="15">
        <f t="shared" si="46"/>
        <v>34.629089193322237</v>
      </c>
      <c r="AE111" s="15">
        <f t="shared" si="46"/>
        <v>17.885605119628831</v>
      </c>
      <c r="AF111" s="15">
        <f t="shared" si="46"/>
        <v>17.885605119628831</v>
      </c>
      <c r="AG111" s="15">
        <f t="shared" si="46"/>
        <v>55.05566671561246</v>
      </c>
    </row>
    <row r="112" spans="4:41" x14ac:dyDescent="0.25">
      <c r="F112" s="6">
        <v>2</v>
      </c>
      <c r="G112" s="24" t="s">
        <v>107</v>
      </c>
      <c r="H112" s="15">
        <f>H34</f>
        <v>0.56721459778441663</v>
      </c>
      <c r="I112" s="15">
        <f>L34</f>
        <v>-34.685860440127023</v>
      </c>
      <c r="J112" s="15">
        <f>P34</f>
        <v>-25.287610589747281</v>
      </c>
      <c r="K112" s="15">
        <f>X34</f>
        <v>-18.580299818671303</v>
      </c>
      <c r="L112" s="15">
        <f>I34</f>
        <v>2.3988882004939343</v>
      </c>
      <c r="M112" s="15">
        <f>M34</f>
        <v>143.20258030056812</v>
      </c>
      <c r="N112" s="15">
        <f>Q34</f>
        <v>6.0318339444230995</v>
      </c>
      <c r="O112" s="15">
        <f>Y34</f>
        <v>5.9092664194561442</v>
      </c>
      <c r="P112">
        <f>ABS(H35)</f>
        <v>41.109934583182842</v>
      </c>
      <c r="Q112">
        <f>ABS(P36)</f>
        <v>45.515305854691647</v>
      </c>
      <c r="R112">
        <f>ABS(P36)</f>
        <v>45.515305854691647</v>
      </c>
      <c r="S112">
        <f>ABS(X36)</f>
        <v>18.616683411947388</v>
      </c>
      <c r="V112" t="str">
        <f t="shared" ref="V112:V119" si="47">_xlfn.CONCAT(V111,", ",H112)</f>
        <v>-6.20765364857449, 0.567214597784417</v>
      </c>
      <c r="W112" t="str">
        <f>_xlfn.CONCAT(W111,", ",J112)</f>
        <v>-1.72297016818677, -25.2876105897473</v>
      </c>
      <c r="X112" t="str">
        <f>_xlfn.CONCAT(X111,", ",K112)</f>
        <v>-18.4998648784236, -18.5802998186713</v>
      </c>
      <c r="Y112" t="str">
        <f t="shared" ref="Y112:AG120" si="48">_xlfn.CONCAT(Y111,", ",K112)</f>
        <v>-8.7411389478534, -18.5802998186713</v>
      </c>
      <c r="Z112" t="str">
        <f t="shared" si="48"/>
        <v>1.99789003349162, 2.39888820049393</v>
      </c>
      <c r="AA112" t="str">
        <f t="shared" si="48"/>
        <v>12.7615098265305, 143.202580300568</v>
      </c>
      <c r="AB112" s="14" t="str">
        <f t="shared" si="48"/>
        <v>4.20393293005887, 6.0318339444231</v>
      </c>
      <c r="AC112" t="str">
        <f t="shared" si="48"/>
        <v>2.85749299782893, 5.90926641945614</v>
      </c>
      <c r="AD112" t="str">
        <f t="shared" si="48"/>
        <v>34.6290891933222, 41.1099345831828</v>
      </c>
      <c r="AE112" t="str">
        <f t="shared" si="48"/>
        <v>17.8856051196288, 45.5153058546916</v>
      </c>
      <c r="AF112" t="str">
        <f t="shared" si="48"/>
        <v>17.8856051196288, 45.5153058546916</v>
      </c>
      <c r="AG112" t="str">
        <f t="shared" si="48"/>
        <v>55.0556667156125, 18.6166834119474</v>
      </c>
    </row>
    <row r="113" spans="4:41" x14ac:dyDescent="0.25">
      <c r="F113" s="6">
        <v>2</v>
      </c>
      <c r="G113" s="24" t="s">
        <v>108</v>
      </c>
      <c r="H113" s="15">
        <f>H36</f>
        <v>-73.432254628172117</v>
      </c>
      <c r="I113" s="15">
        <f>L36</f>
        <v>0.65100103357750871</v>
      </c>
      <c r="J113" s="15">
        <f>P36</f>
        <v>-45.515305854691647</v>
      </c>
      <c r="K113" s="15">
        <f>X36</f>
        <v>-18.616683411947388</v>
      </c>
      <c r="L113" s="15">
        <f>I36</f>
        <v>17.345344226524659</v>
      </c>
      <c r="M113" s="15">
        <f>M36</f>
        <v>68.063540054620418</v>
      </c>
      <c r="N113" s="15">
        <f>Q36</f>
        <v>10.567865735389752</v>
      </c>
      <c r="O113" s="15">
        <f>Y36</f>
        <v>6.5640840829426095</v>
      </c>
      <c r="P113">
        <f>ABS(H37)</f>
        <v>50.348097890866121</v>
      </c>
      <c r="Q113">
        <f>ABS(P37)</f>
        <v>1.5047949610763425</v>
      </c>
      <c r="R113">
        <f>ABS(P37)</f>
        <v>1.5047949610763425</v>
      </c>
      <c r="S113">
        <f>ABS(X37)</f>
        <v>39.511828517557824</v>
      </c>
      <c r="V113" t="str">
        <f t="shared" si="47"/>
        <v>-6.20765364857449, 0.567214597784417, -73.4322546281721</v>
      </c>
      <c r="W113" t="str">
        <f t="shared" ref="W113:W119" si="49">_xlfn.CONCAT(W112,", ",J113)</f>
        <v>-1.72297016818677, -25.2876105897473, -45.5153058546916</v>
      </c>
      <c r="X113" t="str">
        <f t="shared" ref="X113:X119" si="50">_xlfn.CONCAT(X112,", ",K113)</f>
        <v>-18.4998648784236, -18.5802998186713, -18.6166834119474</v>
      </c>
      <c r="Y113" t="str">
        <f t="shared" si="48"/>
        <v>-8.7411389478534, -18.5802998186713, -18.6166834119474</v>
      </c>
      <c r="Z113" t="str">
        <f t="shared" si="48"/>
        <v>1.99789003349162, 2.39888820049393, 17.3453442265247</v>
      </c>
      <c r="AA113" t="str">
        <f t="shared" si="48"/>
        <v>12.7615098265305, 143.202580300568, 68.0635400546204</v>
      </c>
      <c r="AB113" s="14" t="str">
        <f t="shared" si="48"/>
        <v>4.20393293005887, 6.0318339444231, 10.5678657353898</v>
      </c>
      <c r="AC113" t="str">
        <f t="shared" si="48"/>
        <v>2.85749299782893, 5.90926641945614, 6.56408408294261</v>
      </c>
      <c r="AD113" t="str">
        <f t="shared" si="48"/>
        <v>34.6290891933222, 41.1099345831828, 50.3480978908661</v>
      </c>
      <c r="AE113" t="str">
        <f t="shared" si="48"/>
        <v>17.8856051196288, 45.5153058546916, 1.50479496107634</v>
      </c>
      <c r="AF113" t="str">
        <f t="shared" si="48"/>
        <v>17.8856051196288, 45.5153058546916, 1.50479496107634</v>
      </c>
      <c r="AG113" t="str">
        <f t="shared" si="48"/>
        <v>55.0556667156125, 18.6166834119474, 39.5118285175578</v>
      </c>
    </row>
    <row r="114" spans="4:41" x14ac:dyDescent="0.25">
      <c r="F114" s="6">
        <v>2</v>
      </c>
      <c r="G114" s="6" t="s">
        <v>109</v>
      </c>
      <c r="H114" s="15">
        <f>H40</f>
        <v>7.6376181485943597</v>
      </c>
      <c r="I114" s="15">
        <f>L40</f>
        <v>-7.0523793360498459</v>
      </c>
      <c r="J114" s="15">
        <f>P40</f>
        <v>0.51736674348744061</v>
      </c>
      <c r="K114" s="15">
        <f>X40</f>
        <v>10.40855947674666</v>
      </c>
      <c r="L114" s="15">
        <f>I40</f>
        <v>2.2636326457011742</v>
      </c>
      <c r="M114" s="15">
        <f>M40</f>
        <v>36.329676789602779</v>
      </c>
      <c r="N114" s="15">
        <f>Q40</f>
        <v>1.3159158046582731</v>
      </c>
      <c r="O114" s="15">
        <f>Y40</f>
        <v>3.676076393075256</v>
      </c>
      <c r="P114">
        <f>ABS(H41)</f>
        <v>4.4536399868828243</v>
      </c>
      <c r="Q114">
        <f>ABS(P41)</f>
        <v>4.9433355950195743</v>
      </c>
      <c r="R114">
        <f>ABS(P41)</f>
        <v>4.9433355950195743</v>
      </c>
      <c r="S114">
        <f>ABS(X41)</f>
        <v>3.0460171579928303</v>
      </c>
      <c r="V114" t="str">
        <f t="shared" si="47"/>
        <v>-6.20765364857449, 0.567214597784417, -73.4322546281721, 7.63761814859436</v>
      </c>
      <c r="W114" t="str">
        <f t="shared" si="49"/>
        <v>-1.72297016818677, -25.2876105897473, -45.5153058546916, 0.517366743487441</v>
      </c>
      <c r="X114" t="str">
        <f t="shared" si="50"/>
        <v>-18.4998648784236, -18.5802998186713, -18.6166834119474, 10.4085594767467</v>
      </c>
      <c r="Y114" t="str">
        <f t="shared" si="48"/>
        <v>-8.7411389478534, -18.5802998186713, -18.6166834119474, 10.4085594767467</v>
      </c>
      <c r="Z114" t="str">
        <f t="shared" si="48"/>
        <v>1.99789003349162, 2.39888820049393, 17.3453442265247, 2.26363264570117</v>
      </c>
      <c r="AA114" t="str">
        <f t="shared" si="48"/>
        <v>12.7615098265305, 143.202580300568, 68.0635400546204, 36.3296767896028</v>
      </c>
      <c r="AB114" s="14" t="str">
        <f t="shared" si="48"/>
        <v>4.20393293005887, 6.0318339444231, 10.5678657353898, 1.31591580465827</v>
      </c>
      <c r="AC114" t="str">
        <f t="shared" si="48"/>
        <v>2.85749299782893, 5.90926641945614, 6.56408408294261, 3.67607639307526</v>
      </c>
      <c r="AD114" t="str">
        <f t="shared" si="48"/>
        <v>34.6290891933222, 41.1099345831828, 50.3480978908661, 4.45363998688282</v>
      </c>
      <c r="AE114" t="str">
        <f t="shared" si="48"/>
        <v>17.8856051196288, 45.5153058546916, 1.50479496107634, 4.94333559501957</v>
      </c>
      <c r="AF114" t="str">
        <f t="shared" si="48"/>
        <v>17.8856051196288, 45.5153058546916, 1.50479496107634, 4.94333559501957</v>
      </c>
      <c r="AG114" t="str">
        <f t="shared" si="48"/>
        <v>55.0556667156125, 18.6166834119474, 39.5118285175578, 3.04601715799283</v>
      </c>
    </row>
    <row r="115" spans="4:41" x14ac:dyDescent="0.25">
      <c r="F115" s="6">
        <v>3</v>
      </c>
      <c r="G115" s="6" t="s">
        <v>110</v>
      </c>
      <c r="H115" s="15">
        <f>H42</f>
        <v>10.863174391741463</v>
      </c>
      <c r="I115" s="15">
        <f>L42</f>
        <v>22.306856755858384</v>
      </c>
      <c r="J115" s="15">
        <f>P42</f>
        <v>8.758285709222891</v>
      </c>
      <c r="K115" s="15">
        <f>X42</f>
        <v>21.426942586564838</v>
      </c>
      <c r="L115" s="15">
        <f>I42</f>
        <v>2.9264151447612679</v>
      </c>
      <c r="M115" s="15">
        <f>M42</f>
        <v>91.223851224086076</v>
      </c>
      <c r="N115" s="15">
        <f>Q42</f>
        <v>2.4752428640133899</v>
      </c>
      <c r="O115" s="15">
        <f>Y42</f>
        <v>6.8814568701087975</v>
      </c>
      <c r="P115">
        <f>ABS(H43)</f>
        <v>11.315173424323344</v>
      </c>
      <c r="Q115">
        <f>ABS(P43)</f>
        <v>11.787328280385122</v>
      </c>
      <c r="R115">
        <f>ABS(P43)</f>
        <v>11.787328280385122</v>
      </c>
      <c r="S115">
        <f>ABS(X43)</f>
        <v>22.961693492304519</v>
      </c>
      <c r="V115" t="str">
        <f t="shared" si="47"/>
        <v>-6.20765364857449, 0.567214597784417, -73.4322546281721, 7.63761814859436, 10.8631743917415</v>
      </c>
      <c r="W115" t="str">
        <f t="shared" si="49"/>
        <v>-1.72297016818677, -25.2876105897473, -45.5153058546916, 0.517366743487441, 8.75828570922289</v>
      </c>
      <c r="X115" t="str">
        <f t="shared" si="50"/>
        <v>-18.4998648784236, -18.5802998186713, -18.6166834119474, 10.4085594767467, 21.4269425865648</v>
      </c>
      <c r="Y115" t="str">
        <f t="shared" si="48"/>
        <v>-8.7411389478534, -18.5802998186713, -18.6166834119474, 10.4085594767467, 21.4269425865648</v>
      </c>
      <c r="Z115" t="str">
        <f t="shared" si="48"/>
        <v>1.99789003349162, 2.39888820049393, 17.3453442265247, 2.26363264570117, 2.92641514476127</v>
      </c>
      <c r="AA115" t="str">
        <f t="shared" si="48"/>
        <v>12.7615098265305, 143.202580300568, 68.0635400546204, 36.3296767896028, 91.2238512240861</v>
      </c>
      <c r="AB115" s="14" t="str">
        <f t="shared" si="48"/>
        <v>4.20393293005887, 6.0318339444231, 10.5678657353898, 1.31591580465827, 2.47524286401339</v>
      </c>
      <c r="AC115" t="str">
        <f t="shared" si="48"/>
        <v>2.85749299782893, 5.90926641945614, 6.56408408294261, 3.67607639307526, 6.8814568701088</v>
      </c>
      <c r="AD115" t="str">
        <f t="shared" si="48"/>
        <v>34.6290891933222, 41.1099345831828, 50.3480978908661, 4.45363998688282, 11.3151734243233</v>
      </c>
      <c r="AE115" t="str">
        <f t="shared" si="48"/>
        <v>17.8856051196288, 45.5153058546916, 1.50479496107634, 4.94333559501957, 11.7873282803851</v>
      </c>
      <c r="AF115" t="str">
        <f t="shared" si="48"/>
        <v>17.8856051196288, 45.5153058546916, 1.50479496107634, 4.94333559501957, 11.7873282803851</v>
      </c>
      <c r="AG115" t="str">
        <f t="shared" si="48"/>
        <v>55.0556667156125, 18.6166834119474, 39.5118285175578, 3.04601715799283, 22.9616934923045</v>
      </c>
    </row>
    <row r="116" spans="4:41" x14ac:dyDescent="0.25">
      <c r="F116" s="6">
        <v>3</v>
      </c>
      <c r="G116" s="6" t="s">
        <v>111</v>
      </c>
      <c r="H116" s="15">
        <f>H44</f>
        <v>9.0341303678782534</v>
      </c>
      <c r="I116" s="15">
        <f>L44</f>
        <v>18.293798287576809</v>
      </c>
      <c r="J116" s="15">
        <f>P44</f>
        <v>3.7739817696367961</v>
      </c>
      <c r="K116" s="15">
        <f>X44</f>
        <v>14.204050977926039</v>
      </c>
      <c r="L116" s="15">
        <f>I44</f>
        <v>2.7039845471552661</v>
      </c>
      <c r="M116" s="15">
        <f>M44</f>
        <v>75.371648343589641</v>
      </c>
      <c r="N116" s="15">
        <f>Q44</f>
        <v>1.5040064543182441</v>
      </c>
      <c r="O116" s="15">
        <f>Y44</f>
        <v>4.6001469195073721</v>
      </c>
      <c r="P116">
        <f>ABS(H45)</f>
        <v>2.6242641899766501</v>
      </c>
      <c r="Q116">
        <f>ABS(P45)</f>
        <v>8.484213236553801</v>
      </c>
      <c r="R116">
        <f>ABS(P45)</f>
        <v>8.484213236553801</v>
      </c>
      <c r="S116">
        <f>ABS(X45)</f>
        <v>10.932845470471651</v>
      </c>
      <c r="V116" t="str">
        <f t="shared" si="47"/>
        <v>-6.20765364857449, 0.567214597784417, -73.4322546281721, 7.63761814859436, 10.8631743917415, 9.03413036787825</v>
      </c>
      <c r="W116" t="str">
        <f t="shared" si="49"/>
        <v>-1.72297016818677, -25.2876105897473, -45.5153058546916, 0.517366743487441, 8.75828570922289, 3.7739817696368</v>
      </c>
      <c r="X116" t="str">
        <f t="shared" si="50"/>
        <v>-18.4998648784236, -18.5802998186713, -18.6166834119474, 10.4085594767467, 21.4269425865648, 14.204050977926</v>
      </c>
      <c r="Y116" t="str">
        <f t="shared" si="48"/>
        <v>-8.7411389478534, -18.5802998186713, -18.6166834119474, 10.4085594767467, 21.4269425865648, 14.204050977926</v>
      </c>
      <c r="Z116" t="str">
        <f t="shared" si="48"/>
        <v>1.99789003349162, 2.39888820049393, 17.3453442265247, 2.26363264570117, 2.92641514476127, 2.70398454715527</v>
      </c>
      <c r="AA116" t="str">
        <f t="shared" si="48"/>
        <v>12.7615098265305, 143.202580300568, 68.0635400546204, 36.3296767896028, 91.2238512240861, 75.3716483435896</v>
      </c>
      <c r="AB116" s="14" t="str">
        <f t="shared" si="48"/>
        <v>4.20393293005887, 6.0318339444231, 10.5678657353898, 1.31591580465827, 2.47524286401339, 1.50400645431824</v>
      </c>
      <c r="AC116" t="str">
        <f t="shared" si="48"/>
        <v>2.85749299782893, 5.90926641945614, 6.56408408294261, 3.67607639307526, 6.8814568701088, 4.60014691950737</v>
      </c>
      <c r="AD116" t="str">
        <f t="shared" si="48"/>
        <v>34.6290891933222, 41.1099345831828, 50.3480978908661, 4.45363998688282, 11.3151734243233, 2.62426418997665</v>
      </c>
      <c r="AE116" t="str">
        <f t="shared" si="48"/>
        <v>17.8856051196288, 45.5153058546916, 1.50479496107634, 4.94333559501957, 11.7873282803851, 8.4842132365538</v>
      </c>
      <c r="AF116" t="str">
        <f t="shared" si="48"/>
        <v>17.8856051196288, 45.5153058546916, 1.50479496107634, 4.94333559501957, 11.7873282803851, 8.4842132365538</v>
      </c>
      <c r="AG116" t="str">
        <f t="shared" si="48"/>
        <v>55.0556667156125, 18.6166834119474, 39.5118285175578, 3.04601715799283, 22.9616934923045, 10.9328454704717</v>
      </c>
    </row>
    <row r="117" spans="4:41" x14ac:dyDescent="0.25">
      <c r="F117" s="6">
        <v>4</v>
      </c>
      <c r="G117" s="6" t="s">
        <v>58</v>
      </c>
      <c r="H117" s="15">
        <f>H46</f>
        <v>5.1674077277109944</v>
      </c>
      <c r="I117" s="15">
        <f>L46</f>
        <v>17.183454533162102</v>
      </c>
      <c r="J117" s="15">
        <f>P46</f>
        <v>2.6344406450007121</v>
      </c>
      <c r="K117" s="15">
        <f>X46</f>
        <v>10.643316743722293</v>
      </c>
      <c r="L117" s="15">
        <f>I46</f>
        <v>1.4165682590712438</v>
      </c>
      <c r="M117" s="15">
        <f>M46</f>
        <v>72.73092998190458</v>
      </c>
      <c r="N117" s="15">
        <f>Q46</f>
        <v>1.2901369878691509</v>
      </c>
      <c r="O117" s="15">
        <f>Y46</f>
        <v>3.4576427617257623</v>
      </c>
      <c r="P117">
        <f>ABS(H47)</f>
        <v>3.6028315473175123</v>
      </c>
      <c r="Q117">
        <f>ABS(P47)</f>
        <v>9.6220783227726958</v>
      </c>
      <c r="R117">
        <f>ABS(P47)</f>
        <v>9.6220783227726958</v>
      </c>
      <c r="S117">
        <f>ABS(X47)</f>
        <v>16.151789723406637</v>
      </c>
      <c r="V117" t="str">
        <f t="shared" si="47"/>
        <v>-6.20765364857449, 0.567214597784417, -73.4322546281721, 7.63761814859436, 10.8631743917415, 9.03413036787825, 5.16740772771099</v>
      </c>
      <c r="W117" t="str">
        <f t="shared" si="49"/>
        <v>-1.72297016818677, -25.2876105897473, -45.5153058546916, 0.517366743487441, 8.75828570922289, 3.7739817696368, 2.63444064500071</v>
      </c>
      <c r="X117" t="str">
        <f t="shared" si="50"/>
        <v>-18.4998648784236, -18.5802998186713, -18.6166834119474, 10.4085594767467, 21.4269425865648, 14.204050977926, 10.6433167437223</v>
      </c>
      <c r="Y117" t="str">
        <f t="shared" si="48"/>
        <v>-8.7411389478534, -18.5802998186713, -18.6166834119474, 10.4085594767467, 21.4269425865648, 14.204050977926, 10.6433167437223</v>
      </c>
      <c r="Z117" t="str">
        <f t="shared" si="48"/>
        <v>1.99789003349162, 2.39888820049393, 17.3453442265247, 2.26363264570117, 2.92641514476127, 2.70398454715527, 1.41656825907124</v>
      </c>
      <c r="AA117" t="str">
        <f t="shared" si="48"/>
        <v>12.7615098265305, 143.202580300568, 68.0635400546204, 36.3296767896028, 91.2238512240861, 75.3716483435896, 72.7309299819046</v>
      </c>
      <c r="AB117" s="14" t="str">
        <f t="shared" si="48"/>
        <v>4.20393293005887, 6.0318339444231, 10.5678657353898, 1.31591580465827, 2.47524286401339, 1.50400645431824, 1.29013698786915</v>
      </c>
      <c r="AC117" t="str">
        <f t="shared" si="48"/>
        <v>2.85749299782893, 5.90926641945614, 6.56408408294261, 3.67607639307526, 6.8814568701088, 4.60014691950737, 3.45764276172576</v>
      </c>
      <c r="AD117" t="str">
        <f t="shared" si="48"/>
        <v>34.6290891933222, 41.1099345831828, 50.3480978908661, 4.45363998688282, 11.3151734243233, 2.62426418997665, 3.60283154731751</v>
      </c>
      <c r="AE117" t="str">
        <f t="shared" si="48"/>
        <v>17.8856051196288, 45.5153058546916, 1.50479496107634, 4.94333559501957, 11.7873282803851, 8.4842132365538, 9.6220783227727</v>
      </c>
      <c r="AF117" t="str">
        <f t="shared" si="48"/>
        <v>17.8856051196288, 45.5153058546916, 1.50479496107634, 4.94333559501957, 11.7873282803851, 8.4842132365538, 9.6220783227727</v>
      </c>
      <c r="AG117" t="str">
        <f t="shared" si="48"/>
        <v>55.0556667156125, 18.6166834119474, 39.5118285175578, 3.04601715799283, 22.9616934923045, 10.9328454704717, 16.1517897234066</v>
      </c>
    </row>
    <row r="118" spans="4:41" x14ac:dyDescent="0.25">
      <c r="F118" s="6">
        <v>4</v>
      </c>
      <c r="G118" s="6" t="s">
        <v>61</v>
      </c>
      <c r="H118" s="15">
        <f>H48</f>
        <v>3.2077886758487701</v>
      </c>
      <c r="I118" s="15">
        <f>L48</f>
        <v>7.6394714966463342</v>
      </c>
      <c r="J118" s="15">
        <f>P48</f>
        <v>1.7573837397210015</v>
      </c>
      <c r="K118" s="15">
        <f>X48</f>
        <v>1.9120564139972751</v>
      </c>
      <c r="L118" s="15">
        <f>I48</f>
        <v>1.1174045066749247</v>
      </c>
      <c r="M118" s="15">
        <f>M48</f>
        <v>32.878071308357278</v>
      </c>
      <c r="N118" s="15">
        <f>Q48</f>
        <v>1.0044526116195711</v>
      </c>
      <c r="O118" s="15">
        <f>Y48</f>
        <v>1.1303508295717368</v>
      </c>
      <c r="P118">
        <f>ABS(H49)</f>
        <v>1.1353746966169551</v>
      </c>
      <c r="Q118">
        <f>ABS(P49)</f>
        <v>9.3160370386261349E-2</v>
      </c>
      <c r="R118">
        <f>ABS(P49)</f>
        <v>9.3160370386261349E-2</v>
      </c>
      <c r="S118">
        <f>ABS(X49)</f>
        <v>5.1605320364553968</v>
      </c>
      <c r="V118" t="str">
        <f t="shared" si="47"/>
        <v>-6.20765364857449, 0.567214597784417, -73.4322546281721, 7.63761814859436, 10.8631743917415, 9.03413036787825, 5.16740772771099, 3.20778867584877</v>
      </c>
      <c r="W118" t="str">
        <f t="shared" si="49"/>
        <v>-1.72297016818677, -25.2876105897473, -45.5153058546916, 0.517366743487441, 8.75828570922289, 3.7739817696368, 2.63444064500071, 1.757383739721</v>
      </c>
      <c r="X118" t="str">
        <f t="shared" si="50"/>
        <v>-18.4998648784236, -18.5802998186713, -18.6166834119474, 10.4085594767467, 21.4269425865648, 14.204050977926, 10.6433167437223, 1.91205641399728</v>
      </c>
      <c r="Y118" t="str">
        <f t="shared" si="48"/>
        <v>-8.7411389478534, -18.5802998186713, -18.6166834119474, 10.4085594767467, 21.4269425865648, 14.204050977926, 10.6433167437223, 1.91205641399728</v>
      </c>
      <c r="Z118" t="str">
        <f t="shared" si="48"/>
        <v>1.99789003349162, 2.39888820049393, 17.3453442265247, 2.26363264570117, 2.92641514476127, 2.70398454715527, 1.41656825907124, 1.11740450667492</v>
      </c>
      <c r="AA118" t="str">
        <f t="shared" si="48"/>
        <v>12.7615098265305, 143.202580300568, 68.0635400546204, 36.3296767896028, 91.2238512240861, 75.3716483435896, 72.7309299819046, 32.8780713083573</v>
      </c>
      <c r="AB118" s="14" t="str">
        <f t="shared" si="48"/>
        <v>4.20393293005887, 6.0318339444231, 10.5678657353898, 1.31591580465827, 2.47524286401339, 1.50400645431824, 1.29013698786915, 1.00445261161957</v>
      </c>
      <c r="AC118" t="str">
        <f t="shared" si="48"/>
        <v>2.85749299782893, 5.90926641945614, 6.56408408294261, 3.67607639307526, 6.8814568701088, 4.60014691950737, 3.45764276172576, 1.13035082957174</v>
      </c>
      <c r="AD118" t="str">
        <f t="shared" si="48"/>
        <v>34.6290891933222, 41.1099345831828, 50.3480978908661, 4.45363998688282, 11.3151734243233, 2.62426418997665, 3.60283154731751, 1.13537469661696</v>
      </c>
      <c r="AE118" t="str">
        <f t="shared" si="48"/>
        <v>17.8856051196288, 45.5153058546916, 1.50479496107634, 4.94333559501957, 11.7873282803851, 8.4842132365538, 9.6220783227727, 0.0931603703862613</v>
      </c>
      <c r="AF118" t="str">
        <f t="shared" si="48"/>
        <v>17.8856051196288, 45.5153058546916, 1.50479496107634, 4.94333559501957, 11.7873282803851, 8.4842132365538, 9.6220783227727, 0.0931603703862613</v>
      </c>
      <c r="AG118" t="str">
        <f t="shared" si="48"/>
        <v>55.0556667156125, 18.6166834119474, 39.5118285175578, 3.04601715799283, 22.9616934923045, 10.9328454704717, 16.1517897234066, 5.1605320364554</v>
      </c>
      <c r="AN118" s="6"/>
      <c r="AO118" s="6"/>
    </row>
    <row r="119" spans="4:41" x14ac:dyDescent="0.25">
      <c r="F119" s="6">
        <v>5</v>
      </c>
      <c r="G119" s="6" t="s">
        <v>112</v>
      </c>
      <c r="H119" s="15">
        <f>H50</f>
        <v>-4.0783384657676018</v>
      </c>
      <c r="I119" s="15">
        <f>L50</f>
        <v>-3.8121631889746559</v>
      </c>
      <c r="J119" s="15">
        <f>P50</f>
        <v>-2.3727337018466779</v>
      </c>
      <c r="K119" s="15">
        <f>X50</f>
        <v>-2.1237301449301698</v>
      </c>
      <c r="L119" s="15">
        <f>I50</f>
        <v>1.37973730181284</v>
      </c>
      <c r="M119" s="15">
        <f>M50</f>
        <v>19.155695429350775</v>
      </c>
      <c r="N119" s="15">
        <f>Q50</f>
        <v>1.0622007554769834</v>
      </c>
      <c r="O119" s="15">
        <f>Y50</f>
        <v>1.2360618930725253</v>
      </c>
      <c r="P119">
        <f>ABS(H51)</f>
        <v>5.8652715968898601</v>
      </c>
      <c r="Q119">
        <f>ABS(P51)</f>
        <v>4.5877764111205286</v>
      </c>
      <c r="R119">
        <f>ABS(P51)</f>
        <v>4.5877764111205286</v>
      </c>
      <c r="S119">
        <f>ABS(X51)</f>
        <v>4.5027974189875604</v>
      </c>
      <c r="V119" t="str">
        <f t="shared" si="47"/>
        <v>-6.20765364857449, 0.567214597784417, -73.4322546281721, 7.63761814859436, 10.8631743917415, 9.03413036787825, 5.16740772771099, 3.20778867584877, -4.0783384657676</v>
      </c>
      <c r="W119" t="str">
        <f t="shared" si="49"/>
        <v>-1.72297016818677, -25.2876105897473, -45.5153058546916, 0.517366743487441, 8.75828570922289, 3.7739817696368, 2.63444064500071, 1.757383739721, -2.37273370184668</v>
      </c>
      <c r="X119" t="str">
        <f t="shared" si="50"/>
        <v>-18.4998648784236, -18.5802998186713, -18.6166834119474, 10.4085594767467, 21.4269425865648, 14.204050977926, 10.6433167437223, 1.91205641399728, -2.12373014493017</v>
      </c>
      <c r="Y119" t="str">
        <f t="shared" si="48"/>
        <v>-8.7411389478534, -18.5802998186713, -18.6166834119474, 10.4085594767467, 21.4269425865648, 14.204050977926, 10.6433167437223, 1.91205641399728, -2.12373014493017</v>
      </c>
      <c r="Z119" t="str">
        <f t="shared" si="48"/>
        <v>1.99789003349162, 2.39888820049393, 17.3453442265247, 2.26363264570117, 2.92641514476127, 2.70398454715527, 1.41656825907124, 1.11740450667492, 1.37973730181284</v>
      </c>
      <c r="AA119" t="str">
        <f t="shared" si="48"/>
        <v>12.7615098265305, 143.202580300568, 68.0635400546204, 36.3296767896028, 91.2238512240861, 75.3716483435896, 72.7309299819046, 32.8780713083573, 19.1556954293508</v>
      </c>
      <c r="AB119" s="14" t="str">
        <f t="shared" si="48"/>
        <v>4.20393293005887, 6.0318339444231, 10.5678657353898, 1.31591580465827, 2.47524286401339, 1.50400645431824, 1.29013698786915, 1.00445261161957, 1.06220075547698</v>
      </c>
      <c r="AC119" t="str">
        <f t="shared" si="48"/>
        <v>2.85749299782893, 5.90926641945614, 6.56408408294261, 3.67607639307526, 6.8814568701088, 4.60014691950737, 3.45764276172576, 1.13035082957174, 1.23606189307253</v>
      </c>
      <c r="AD119" t="str">
        <f t="shared" si="48"/>
        <v>34.6290891933222, 41.1099345831828, 50.3480978908661, 4.45363998688282, 11.3151734243233, 2.62426418997665, 3.60283154731751, 1.13537469661696, 5.86527159688986</v>
      </c>
      <c r="AE119" t="str">
        <f t="shared" si="48"/>
        <v>17.8856051196288, 45.5153058546916, 1.50479496107634, 4.94333559501957, 11.7873282803851, 8.4842132365538, 9.6220783227727, 0.0931603703862613, 4.58777641112053</v>
      </c>
      <c r="AF119" t="str">
        <f t="shared" si="48"/>
        <v>17.8856051196288, 45.5153058546916, 1.50479496107634, 4.94333559501957, 11.7873282803851, 8.4842132365538, 9.6220783227727, 0.0931603703862613, 4.58777641112053</v>
      </c>
      <c r="AG119" t="str">
        <f t="shared" si="48"/>
        <v>55.0556667156125, 18.6166834119474, 39.5118285175578, 3.04601715799283, 22.9616934923045, 10.9328454704717, 16.1517897234066, 5.1605320364554, 4.50279741898756</v>
      </c>
    </row>
    <row r="120" spans="4:41" x14ac:dyDescent="0.25">
      <c r="F120" s="6">
        <v>5</v>
      </c>
      <c r="G120" s="6" t="s">
        <v>113</v>
      </c>
      <c r="H120" s="15">
        <f>H52</f>
        <v>-6.378392654660038</v>
      </c>
      <c r="I120" s="15">
        <f>L52</f>
        <v>-1.1060916267418666</v>
      </c>
      <c r="J120" s="15">
        <f>P52</f>
        <v>-4.3320839163289442</v>
      </c>
      <c r="K120" s="15">
        <f>X52</f>
        <v>-7.3140388218482197</v>
      </c>
      <c r="L120" s="15">
        <f>I52</f>
        <v>1.8426589047018265</v>
      </c>
      <c r="M120" s="15">
        <f>M52</f>
        <v>13.251649280331661</v>
      </c>
      <c r="N120" s="15">
        <f>Q52</f>
        <v>1.363464127784493</v>
      </c>
      <c r="O120" s="15">
        <f>Y52</f>
        <v>2.5362396514862464</v>
      </c>
      <c r="P120">
        <f>ABS(H53)</f>
        <v>12.160855176667152</v>
      </c>
      <c r="Q120">
        <f>ABS(P53)</f>
        <v>7.6423165889621734</v>
      </c>
      <c r="R120">
        <f>ABS(P53)</f>
        <v>7.6423165889621734</v>
      </c>
      <c r="S120">
        <f>ABS(X53)</f>
        <v>11.855781150125406</v>
      </c>
      <c r="V120" s="22" t="s">
        <v>245</v>
      </c>
      <c r="W120" s="22" t="s">
        <v>246</v>
      </c>
      <c r="X120" s="22" t="s">
        <v>247</v>
      </c>
      <c r="Y120" s="22" t="s">
        <v>248</v>
      </c>
      <c r="Z120" s="27" t="s">
        <v>249</v>
      </c>
      <c r="AA120" s="27" t="str">
        <f t="shared" si="48"/>
        <v>12.7615098265305, 143.202580300568, 68.0635400546204, 36.3296767896028, 91.2238512240861, 75.3716483435896, 72.7309299819046, 32.8780713083573, 19.1556954293508, 13.2516492803317</v>
      </c>
      <c r="AB120" s="48" t="s">
        <v>250</v>
      </c>
      <c r="AC120" s="27" t="s">
        <v>251</v>
      </c>
      <c r="AD120" s="26" t="s">
        <v>252</v>
      </c>
      <c r="AE120" s="26" t="s">
        <v>253</v>
      </c>
      <c r="AF120" s="26" t="s">
        <v>253</v>
      </c>
      <c r="AG120" s="26" t="s">
        <v>254</v>
      </c>
    </row>
    <row r="121" spans="4:41" ht="15.75" thickBot="1" x14ac:dyDescent="0.3">
      <c r="F121" s="8">
        <v>5</v>
      </c>
      <c r="G121" s="6" t="s">
        <v>114</v>
      </c>
      <c r="H121" s="15">
        <f>H55</f>
        <v>-73.999469225956545</v>
      </c>
      <c r="I121" s="15">
        <f>L55</f>
        <v>35.336861473704538</v>
      </c>
      <c r="J121" s="15">
        <f>P55</f>
        <v>-20.227695264944359</v>
      </c>
      <c r="K121" s="15">
        <f>X54</f>
        <v>-9.8755444640939878</v>
      </c>
      <c r="L121" s="15">
        <f>I55</f>
        <v>29.056029784144659</v>
      </c>
      <c r="M121" s="15">
        <f>M55</f>
        <v>11.207913332900368</v>
      </c>
      <c r="N121" s="15">
        <f>Q55</f>
        <v>6.5322285546181122</v>
      </c>
      <c r="O121" s="15">
        <f>Y54</f>
        <v>3.3563677801519121</v>
      </c>
      <c r="Q121" s="15"/>
      <c r="R121" s="15"/>
      <c r="S121" s="15"/>
      <c r="T121" s="15"/>
      <c r="AB121" s="14"/>
    </row>
    <row r="122" spans="4:41" x14ac:dyDescent="0.25">
      <c r="F122" s="11" t="s">
        <v>133</v>
      </c>
      <c r="G122" s="6" t="s">
        <v>115</v>
      </c>
      <c r="H122" s="15">
        <f>H56</f>
        <v>-6.7748682463589036</v>
      </c>
      <c r="I122" s="15">
        <f>L56</f>
        <v>32.96289027194026</v>
      </c>
      <c r="J122" s="15">
        <f>P56</f>
        <v>6.7877457113236819</v>
      </c>
      <c r="K122" s="15">
        <f>X55</f>
        <v>-3.6383593276083641E-2</v>
      </c>
      <c r="L122" s="15">
        <f>I56</f>
        <v>2.508705420178194</v>
      </c>
      <c r="M122" s="15">
        <f>M56</f>
        <v>12.010398149662251</v>
      </c>
      <c r="N122" s="15">
        <f>Q56</f>
        <v>3.7073420301896318</v>
      </c>
      <c r="O122" s="15">
        <f>Y55</f>
        <v>3.3824023910007623</v>
      </c>
      <c r="AB122" s="14"/>
    </row>
    <row r="123" spans="4:41" ht="15.75" thickBot="1" x14ac:dyDescent="0.3">
      <c r="F123" s="6"/>
      <c r="G123" s="8" t="s">
        <v>116</v>
      </c>
      <c r="H123" s="16">
        <f>H57</f>
        <v>0</v>
      </c>
      <c r="I123" s="15">
        <f>L57</f>
        <v>0</v>
      </c>
      <c r="J123" s="15">
        <f>L57</f>
        <v>0</v>
      </c>
      <c r="K123" s="16">
        <f>X56</f>
        <v>9.8391608708179028</v>
      </c>
      <c r="L123" s="15">
        <f>I57</f>
        <v>0</v>
      </c>
      <c r="M123" s="15">
        <f>M57</f>
        <v>0</v>
      </c>
      <c r="N123" s="15">
        <f>Q57</f>
        <v>0</v>
      </c>
      <c r="O123" s="16">
        <f>Y56</f>
        <v>1.937947812186732</v>
      </c>
      <c r="P123" s="9"/>
      <c r="Q123" s="9"/>
      <c r="R123" s="16"/>
      <c r="S123" s="16"/>
      <c r="T123" s="9"/>
      <c r="U123" s="9"/>
      <c r="V123" s="9"/>
      <c r="W123" s="9"/>
      <c r="X123" s="9"/>
      <c r="Y123" s="9"/>
      <c r="Z123" s="9"/>
      <c r="AA123" s="9"/>
      <c r="AB123" s="17"/>
    </row>
    <row r="124" spans="4:41" ht="15.75" thickBot="1" x14ac:dyDescent="0.3">
      <c r="F124" s="6" t="s">
        <v>100</v>
      </c>
      <c r="G124" s="36" t="s">
        <v>134</v>
      </c>
      <c r="AB124" s="14"/>
    </row>
    <row r="125" spans="4:41" x14ac:dyDescent="0.25">
      <c r="D125" s="4" t="s">
        <v>134</v>
      </c>
      <c r="F125" s="6">
        <v>1</v>
      </c>
      <c r="G125" s="5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3"/>
    </row>
    <row r="126" spans="4:41" x14ac:dyDescent="0.25">
      <c r="F126" s="6">
        <v>1</v>
      </c>
      <c r="G126" s="6"/>
      <c r="H126" t="s">
        <v>97</v>
      </c>
      <c r="I126" t="s">
        <v>97</v>
      </c>
      <c r="J126" t="s">
        <v>98</v>
      </c>
      <c r="K126" t="s">
        <v>97</v>
      </c>
      <c r="L126" t="s">
        <v>22</v>
      </c>
      <c r="M126" t="s">
        <v>22</v>
      </c>
      <c r="N126" t="s">
        <v>22</v>
      </c>
      <c r="O126" t="s">
        <v>22</v>
      </c>
      <c r="P126" t="s">
        <v>99</v>
      </c>
      <c r="Q126" t="s">
        <v>99</v>
      </c>
      <c r="R126" t="s">
        <v>99</v>
      </c>
      <c r="S126" t="s">
        <v>99</v>
      </c>
      <c r="AB126" s="14"/>
    </row>
    <row r="127" spans="4:41" x14ac:dyDescent="0.25">
      <c r="F127" s="6">
        <v>1</v>
      </c>
      <c r="G127" s="6" t="s">
        <v>101</v>
      </c>
      <c r="H127" t="s">
        <v>102</v>
      </c>
      <c r="I127" t="s">
        <v>103</v>
      </c>
      <c r="J127" t="s">
        <v>104</v>
      </c>
      <c r="K127" t="s">
        <v>17</v>
      </c>
      <c r="L127" t="s">
        <v>102</v>
      </c>
      <c r="M127" t="s">
        <v>103</v>
      </c>
      <c r="N127" t="s">
        <v>104</v>
      </c>
      <c r="O127" t="s">
        <v>17</v>
      </c>
      <c r="P127" t="s">
        <v>102</v>
      </c>
      <c r="Q127" t="s">
        <v>103</v>
      </c>
      <c r="R127" t="s">
        <v>104</v>
      </c>
      <c r="S127" t="s">
        <v>17</v>
      </c>
      <c r="V127" s="25" t="s">
        <v>105</v>
      </c>
      <c r="AB127" s="14"/>
      <c r="AE127" s="15"/>
      <c r="AF127" s="15"/>
      <c r="AG127" s="15"/>
      <c r="AH127" s="15"/>
      <c r="AI127" s="15"/>
      <c r="AJ127" s="15"/>
      <c r="AK127" s="15"/>
      <c r="AL127" s="15"/>
    </row>
    <row r="128" spans="4:41" x14ac:dyDescent="0.25">
      <c r="F128" s="6">
        <v>2</v>
      </c>
      <c r="G128" s="24" t="s">
        <v>106</v>
      </c>
      <c r="H128" s="15">
        <f>H59</f>
        <v>-3.6172251929999999</v>
      </c>
      <c r="I128" s="15" t="str">
        <f>L59</f>
        <v>No corrió</v>
      </c>
      <c r="J128" s="15">
        <f>P59</f>
        <v>-13.283710510000001</v>
      </c>
      <c r="K128" s="15">
        <f>X58</f>
        <v>0</v>
      </c>
      <c r="L128" s="15">
        <f>I59</f>
        <v>1.3952327600000001</v>
      </c>
      <c r="M128" s="15">
        <f>M59</f>
        <v>0</v>
      </c>
      <c r="N128" s="15">
        <f>Q59</f>
        <v>1.8710122600000001</v>
      </c>
      <c r="O128" s="15">
        <f>Y59</f>
        <v>7.2584511810403889</v>
      </c>
      <c r="P128">
        <f>ABS(H60)</f>
        <v>16.118407680000001</v>
      </c>
      <c r="Q128">
        <f>ABS(L60)</f>
        <v>0</v>
      </c>
      <c r="R128">
        <f>ABS(P60)</f>
        <v>12.637427239999999</v>
      </c>
      <c r="S128">
        <f>ABS(X60)</f>
        <v>61.593001862756374</v>
      </c>
      <c r="V128" s="15">
        <f>H128</f>
        <v>-3.6172251929999999</v>
      </c>
      <c r="W128" s="15" t="str">
        <f t="shared" ref="W128:AG128" si="51">I128</f>
        <v>No corrió</v>
      </c>
      <c r="X128" s="15">
        <f t="shared" si="51"/>
        <v>-13.283710510000001</v>
      </c>
      <c r="Y128" s="15">
        <f>K128</f>
        <v>0</v>
      </c>
      <c r="Z128" s="15">
        <f t="shared" si="51"/>
        <v>1.3952327600000001</v>
      </c>
      <c r="AA128" s="15">
        <f t="shared" si="51"/>
        <v>0</v>
      </c>
      <c r="AB128" s="28">
        <f t="shared" si="51"/>
        <v>1.8710122600000001</v>
      </c>
      <c r="AC128" s="15">
        <f t="shared" si="51"/>
        <v>7.2584511810403889</v>
      </c>
      <c r="AD128" s="15">
        <f t="shared" si="51"/>
        <v>16.118407680000001</v>
      </c>
      <c r="AE128" s="15">
        <f t="shared" si="51"/>
        <v>0</v>
      </c>
      <c r="AF128" s="15">
        <f t="shared" si="51"/>
        <v>12.637427239999999</v>
      </c>
      <c r="AG128" s="15">
        <f t="shared" si="51"/>
        <v>61.593001862756374</v>
      </c>
    </row>
    <row r="129" spans="4:41" x14ac:dyDescent="0.25">
      <c r="F129" s="6">
        <v>2</v>
      </c>
      <c r="G129" s="24" t="s">
        <v>107</v>
      </c>
      <c r="H129" s="15">
        <f>H61</f>
        <v>-0.80949012399999998</v>
      </c>
      <c r="I129" s="15">
        <f>L61</f>
        <v>0</v>
      </c>
      <c r="J129" s="15">
        <f>P61</f>
        <v>-18.975642879999999</v>
      </c>
      <c r="K129" s="15">
        <f>X61</f>
        <v>-11.566322417983059</v>
      </c>
      <c r="L129" s="15">
        <f>I61</f>
        <v>1.1807693399999999</v>
      </c>
      <c r="M129" s="15">
        <f>M61</f>
        <v>0</v>
      </c>
      <c r="N129" s="15">
        <f>Q61</f>
        <v>2.6678920399999999</v>
      </c>
      <c r="O129" s="15">
        <f>Y61</f>
        <v>4.784880499336694</v>
      </c>
      <c r="P129">
        <f>ABS(H62)</f>
        <v>20.766915210000001</v>
      </c>
      <c r="Q129">
        <f>ABS(L62)</f>
        <v>0</v>
      </c>
      <c r="R129">
        <f>ABS(P62)</f>
        <v>13.49057024</v>
      </c>
      <c r="S129">
        <f>ABS(X62)</f>
        <v>75.439164098120855</v>
      </c>
      <c r="V129" t="str">
        <f t="shared" ref="V129:V136" si="52">_xlfn.CONCAT(V128,", ",H129)</f>
        <v>-3.617225193, -0.809490124</v>
      </c>
      <c r="W129" t="str">
        <f t="shared" ref="W129:AG136" si="53">_xlfn.CONCAT(W128,", ",I129)</f>
        <v>No corrió, 0</v>
      </c>
      <c r="X129" t="str">
        <f t="shared" si="53"/>
        <v>-13.28371051, -18.97564288</v>
      </c>
      <c r="Y129" t="str">
        <f t="shared" si="53"/>
        <v>0, -11.5663224179831</v>
      </c>
      <c r="Z129" t="str">
        <f t="shared" si="53"/>
        <v>1.39523276, 1.18076934</v>
      </c>
      <c r="AA129" t="str">
        <f t="shared" si="53"/>
        <v>0, 0</v>
      </c>
      <c r="AB129" s="14" t="str">
        <f t="shared" si="53"/>
        <v>1.87101226, 2.66789204</v>
      </c>
      <c r="AC129" t="str">
        <f t="shared" si="53"/>
        <v>7.25845118104039, 4.78488049933669</v>
      </c>
      <c r="AD129" t="str">
        <f t="shared" si="53"/>
        <v>16.11840768, 20.76691521</v>
      </c>
      <c r="AE129" t="str">
        <f t="shared" si="53"/>
        <v>0, 0</v>
      </c>
      <c r="AF129" t="str">
        <f t="shared" si="53"/>
        <v>12.63742724, 13.49057024</v>
      </c>
      <c r="AG129" t="str">
        <f t="shared" si="53"/>
        <v>61.5930018627564, 75.4391640981209</v>
      </c>
    </row>
    <row r="130" spans="4:41" x14ac:dyDescent="0.25">
      <c r="F130" s="6">
        <v>2</v>
      </c>
      <c r="G130" s="24" t="s">
        <v>108</v>
      </c>
      <c r="H130" s="15">
        <f>H63</f>
        <v>-33.786318000000001</v>
      </c>
      <c r="I130" s="15">
        <f>L63</f>
        <v>0</v>
      </c>
      <c r="J130" s="15">
        <f>P63</f>
        <v>-25.528851469999999</v>
      </c>
      <c r="K130" s="15">
        <f>X63</f>
        <v>19.139994022404931</v>
      </c>
      <c r="L130" s="15">
        <f>I63</f>
        <v>4.3467892400000006</v>
      </c>
      <c r="M130" s="15">
        <f>M63</f>
        <v>0</v>
      </c>
      <c r="N130" s="15">
        <f>Q63</f>
        <v>3.6212034599999998</v>
      </c>
      <c r="O130" s="15">
        <f>Y63</f>
        <v>11.286917502466501</v>
      </c>
      <c r="P130">
        <f>ABS(H64)</f>
        <v>26.115501009999999</v>
      </c>
      <c r="Q130">
        <f>ABS(L64)</f>
        <v>0</v>
      </c>
      <c r="R130">
        <f>ABS(P64)</f>
        <v>12.120777179999999</v>
      </c>
      <c r="S130">
        <f>ABS(X64)</f>
        <v>75.340240501599339</v>
      </c>
      <c r="V130" t="str">
        <f t="shared" si="52"/>
        <v>-3.617225193, -0.809490124, -33.786318</v>
      </c>
      <c r="W130" t="str">
        <f t="shared" si="53"/>
        <v>No corrió, 0, 0</v>
      </c>
      <c r="X130" t="str">
        <f t="shared" si="53"/>
        <v>-13.28371051, -18.97564288, -25.52885147</v>
      </c>
      <c r="Y130" t="str">
        <f t="shared" si="53"/>
        <v>0, -11.5663224179831, 19.1399940224049</v>
      </c>
      <c r="Z130" t="str">
        <f t="shared" si="53"/>
        <v>1.39523276, 1.18076934, 4.34678924</v>
      </c>
      <c r="AA130" t="str">
        <f t="shared" si="53"/>
        <v>0, 0, 0</v>
      </c>
      <c r="AB130" s="14" t="str">
        <f t="shared" si="53"/>
        <v>1.87101226, 2.66789204, 3.62120346</v>
      </c>
      <c r="AC130" t="str">
        <f t="shared" si="53"/>
        <v>7.25845118104039, 4.78488049933669, 11.2869175024665</v>
      </c>
      <c r="AD130" t="str">
        <f t="shared" si="53"/>
        <v>16.11840768, 20.76691521, 26.11550101</v>
      </c>
      <c r="AE130" t="str">
        <f t="shared" si="53"/>
        <v>0, 0, 0</v>
      </c>
      <c r="AF130" t="str">
        <f t="shared" si="53"/>
        <v>12.63742724, 13.49057024, 12.12077718</v>
      </c>
      <c r="AG130" t="str">
        <f t="shared" si="53"/>
        <v>61.5930018627564, 75.4391640981209, 75.3402405015993</v>
      </c>
    </row>
    <row r="131" spans="4:41" x14ac:dyDescent="0.25">
      <c r="F131" s="6">
        <v>3</v>
      </c>
      <c r="G131" s="6" t="s">
        <v>109</v>
      </c>
      <c r="H131" s="15">
        <f>H67</f>
        <v>4.3916133579999999</v>
      </c>
      <c r="I131" s="15">
        <f>L67</f>
        <v>0</v>
      </c>
      <c r="J131" s="15">
        <f>P67</f>
        <v>0.88483307300000003</v>
      </c>
      <c r="K131" s="15">
        <f>X67</f>
        <v>15.759891458525326</v>
      </c>
      <c r="L131" s="15">
        <f>I67</f>
        <v>0.95742857999999997</v>
      </c>
      <c r="M131" s="15">
        <f>M67</f>
        <v>0</v>
      </c>
      <c r="N131" s="15">
        <f>Q67</f>
        <v>0.60295882000000001</v>
      </c>
      <c r="O131" s="15">
        <f>Y67</f>
        <v>6.8747771931000461</v>
      </c>
      <c r="P131">
        <f>ABS(H68)</f>
        <v>3.3246154560000001</v>
      </c>
      <c r="Q131">
        <f>ABS(L68)</f>
        <v>0</v>
      </c>
      <c r="R131">
        <f>ABS(P68)</f>
        <v>3.0667262649999998</v>
      </c>
      <c r="S131">
        <f>ABS(X68)</f>
        <v>2.1652250266656661</v>
      </c>
      <c r="V131" t="str">
        <f t="shared" si="52"/>
        <v>-3.617225193, -0.809490124, -33.786318, 4.391613358</v>
      </c>
      <c r="W131" t="str">
        <f t="shared" si="53"/>
        <v>No corrió, 0, 0, 0</v>
      </c>
      <c r="X131" t="str">
        <f t="shared" si="53"/>
        <v>-13.28371051, -18.97564288, -25.52885147, 0.884833073</v>
      </c>
      <c r="Y131" t="str">
        <f t="shared" si="53"/>
        <v>0, -11.5663224179831, 19.1399940224049, 15.7598914585253</v>
      </c>
      <c r="Z131" t="str">
        <f t="shared" si="53"/>
        <v>1.39523276, 1.18076934, 4.34678924, 0.95742858</v>
      </c>
      <c r="AA131" t="str">
        <f t="shared" si="53"/>
        <v>0, 0, 0, 0</v>
      </c>
      <c r="AB131" s="14" t="str">
        <f t="shared" si="53"/>
        <v>1.87101226, 2.66789204, 3.62120346, 0.60295882</v>
      </c>
      <c r="AC131" t="str">
        <f t="shared" si="53"/>
        <v>7.25845118104039, 4.78488049933669, 11.2869175024665, 6.87477719310005</v>
      </c>
      <c r="AD131" t="str">
        <f t="shared" si="53"/>
        <v>16.11840768, 20.76691521, 26.11550101, 3.324615456</v>
      </c>
      <c r="AE131" t="str">
        <f t="shared" si="53"/>
        <v>0, 0, 0, 0</v>
      </c>
      <c r="AF131" t="str">
        <f t="shared" si="53"/>
        <v>12.63742724, 13.49057024, 12.12077718, 3.066726265</v>
      </c>
      <c r="AG131" t="str">
        <f t="shared" si="53"/>
        <v>61.5930018627564, 75.4391640981209, 75.3402405015993, 2.16522502666567</v>
      </c>
    </row>
    <row r="132" spans="4:41" x14ac:dyDescent="0.25">
      <c r="F132" s="6">
        <v>3</v>
      </c>
      <c r="G132" s="6" t="s">
        <v>110</v>
      </c>
      <c r="H132" s="15">
        <f>H69</f>
        <v>3.4772111350000001</v>
      </c>
      <c r="I132" s="15">
        <f>L69</f>
        <v>0</v>
      </c>
      <c r="J132" s="15">
        <f>P69</f>
        <v>5.1847721849999999</v>
      </c>
      <c r="K132" s="15">
        <f>X69</f>
        <v>30.830354989067882</v>
      </c>
      <c r="L132" s="15">
        <f>I69</f>
        <v>0.91634090000000001</v>
      </c>
      <c r="M132" s="15">
        <f>M69</f>
        <v>0</v>
      </c>
      <c r="N132" s="15">
        <f>Q69</f>
        <v>0.95386915999999999</v>
      </c>
      <c r="O132" s="15">
        <f>Y69</f>
        <v>12.949465655232471</v>
      </c>
      <c r="P132">
        <f>ABS(H70)</f>
        <v>4.8315494990000003</v>
      </c>
      <c r="Q132">
        <f>ABS(L70)</f>
        <v>0</v>
      </c>
      <c r="R132">
        <f>ABS(P70)</f>
        <v>5.8968554270000002</v>
      </c>
      <c r="S132">
        <f>ABS(X70)</f>
        <v>25.099261646210216</v>
      </c>
      <c r="V132" t="str">
        <f t="shared" si="52"/>
        <v>-3.617225193, -0.809490124, -33.786318, 4.391613358, 3.477211135</v>
      </c>
      <c r="W132" t="str">
        <f t="shared" si="53"/>
        <v>No corrió, 0, 0, 0, 0</v>
      </c>
      <c r="X132" t="str">
        <f t="shared" si="53"/>
        <v>-13.28371051, -18.97564288, -25.52885147, 0.884833073, 5.184772185</v>
      </c>
      <c r="Y132" t="str">
        <f t="shared" si="53"/>
        <v>0, -11.5663224179831, 19.1399940224049, 15.7598914585253, 30.8303549890679</v>
      </c>
      <c r="Z132" t="str">
        <f t="shared" si="53"/>
        <v>1.39523276, 1.18076934, 4.34678924, 0.95742858, 0.9163409</v>
      </c>
      <c r="AA132" t="str">
        <f t="shared" si="53"/>
        <v>0, 0, 0, 0, 0</v>
      </c>
      <c r="AB132" s="14" t="str">
        <f t="shared" si="53"/>
        <v>1.87101226, 2.66789204, 3.62120346, 0.60295882, 0.95386916</v>
      </c>
      <c r="AC132" t="str">
        <f t="shared" si="53"/>
        <v>7.25845118104039, 4.78488049933669, 11.2869175024665, 6.87477719310005, 12.9494656552325</v>
      </c>
      <c r="AD132" t="str">
        <f t="shared" si="53"/>
        <v>16.11840768, 20.76691521, 26.11550101, 3.324615456, 4.831549499</v>
      </c>
      <c r="AE132" t="str">
        <f t="shared" si="53"/>
        <v>0, 0, 0, 0, 0</v>
      </c>
      <c r="AF132" t="str">
        <f t="shared" si="53"/>
        <v>12.63742724, 13.49057024, 12.12077718, 3.066726265, 5.896855427</v>
      </c>
      <c r="AG132" t="str">
        <f t="shared" si="53"/>
        <v>61.5930018627564, 75.4391640981209, 75.3402405015993, 2.16522502666567, 25.0992616462102</v>
      </c>
    </row>
    <row r="133" spans="4:41" x14ac:dyDescent="0.25">
      <c r="F133" s="6">
        <v>4</v>
      </c>
      <c r="G133" s="6" t="s">
        <v>111</v>
      </c>
      <c r="H133" s="15">
        <f>H71</f>
        <v>2.4477952539999999</v>
      </c>
      <c r="I133" s="15">
        <f>L71</f>
        <v>0</v>
      </c>
      <c r="J133" s="15">
        <f>P71</f>
        <v>3.5370693630000001</v>
      </c>
      <c r="K133" s="15">
        <f>X71</f>
        <v>18.056310127900101</v>
      </c>
      <c r="L133" s="15">
        <f>I71</f>
        <v>0.83097660000000007</v>
      </c>
      <c r="M133" s="15">
        <f>M71</f>
        <v>0</v>
      </c>
      <c r="N133" s="15">
        <f>Q71</f>
        <v>0.74073612</v>
      </c>
      <c r="O133" s="15">
        <f>Y71</f>
        <v>7.6908565402423958</v>
      </c>
      <c r="P133">
        <f>ABS(H72)</f>
        <v>0.43665475500000001</v>
      </c>
      <c r="Q133">
        <f>ABS(L72)</f>
        <v>0</v>
      </c>
      <c r="R133">
        <f>ABS(P72)</f>
        <v>3.3892674330000001</v>
      </c>
      <c r="S133">
        <f>ABS(X72)</f>
        <v>7.826945902784094</v>
      </c>
      <c r="V133" t="str">
        <f t="shared" si="52"/>
        <v>-3.617225193, -0.809490124, -33.786318, 4.391613358, 3.477211135, 2.447795254</v>
      </c>
      <c r="W133" t="str">
        <f t="shared" si="53"/>
        <v>No corrió, 0, 0, 0, 0, 0</v>
      </c>
      <c r="X133" t="str">
        <f t="shared" si="53"/>
        <v>-13.28371051, -18.97564288, -25.52885147, 0.884833073, 5.184772185, 3.537069363</v>
      </c>
      <c r="Y133" t="str">
        <f t="shared" si="53"/>
        <v>0, -11.5663224179831, 19.1399940224049, 15.7598914585253, 30.8303549890679, 18.0563101279001</v>
      </c>
      <c r="Z133" t="str">
        <f t="shared" si="53"/>
        <v>1.39523276, 1.18076934, 4.34678924, 0.95742858, 0.9163409, 0.8309766</v>
      </c>
      <c r="AA133" t="str">
        <f t="shared" si="53"/>
        <v>0, 0, 0, 0, 0, 0</v>
      </c>
      <c r="AB133" s="14" t="str">
        <f t="shared" si="53"/>
        <v>1.87101226, 2.66789204, 3.62120346, 0.60295882, 0.95386916, 0.74073612</v>
      </c>
      <c r="AC133" t="str">
        <f t="shared" si="53"/>
        <v>7.25845118104039, 4.78488049933669, 11.2869175024665, 6.87477719310005, 12.9494656552325, 7.6908565402424</v>
      </c>
      <c r="AD133" t="str">
        <f t="shared" si="53"/>
        <v>16.11840768, 20.76691521, 26.11550101, 3.324615456, 4.831549499, 0.436654755</v>
      </c>
      <c r="AE133" t="str">
        <f t="shared" si="53"/>
        <v>0, 0, 0, 0, 0, 0</v>
      </c>
      <c r="AF133" t="str">
        <f t="shared" si="53"/>
        <v>12.63742724, 13.49057024, 12.12077718, 3.066726265, 5.896855427, 3.389267433</v>
      </c>
      <c r="AG133" t="str">
        <f t="shared" si="53"/>
        <v>61.5930018627564, 75.4391640981209, 75.3402405015993, 2.16522502666567, 25.0992616462102, 7.82694590278409</v>
      </c>
    </row>
    <row r="134" spans="4:41" x14ac:dyDescent="0.25">
      <c r="F134" s="6">
        <v>4</v>
      </c>
      <c r="G134" s="6" t="s">
        <v>58</v>
      </c>
      <c r="H134" s="15">
        <f>H73</f>
        <v>3.2914709270000002</v>
      </c>
      <c r="I134" s="15">
        <f>L73</f>
        <v>0</v>
      </c>
      <c r="J134" s="15">
        <f>P73</f>
        <v>3.3053566230000002</v>
      </c>
      <c r="K134" s="15">
        <f>X73</f>
        <v>11.310159538947106</v>
      </c>
      <c r="L134" s="15">
        <f>I73</f>
        <v>0.81830723999999999</v>
      </c>
      <c r="M134" s="15">
        <f>M73</f>
        <v>0</v>
      </c>
      <c r="N134" s="15">
        <f>Q73</f>
        <v>0.66759899999999994</v>
      </c>
      <c r="O134" s="15">
        <f>Y73</f>
        <v>4.64731600003973</v>
      </c>
      <c r="P134">
        <f>ABS(H74)</f>
        <v>3.959315776</v>
      </c>
      <c r="Q134">
        <f>ABS(L74)</f>
        <v>0</v>
      </c>
      <c r="R134">
        <f>ABS(P74)</f>
        <v>2.778244129</v>
      </c>
      <c r="S134">
        <f>ABS(X74)</f>
        <v>18.761701759567998</v>
      </c>
      <c r="V134" t="str">
        <f t="shared" si="52"/>
        <v>-3.617225193, -0.809490124, -33.786318, 4.391613358, 3.477211135, 2.447795254, 3.291470927</v>
      </c>
      <c r="W134" t="str">
        <f t="shared" si="53"/>
        <v>No corrió, 0, 0, 0, 0, 0, 0</v>
      </c>
      <c r="X134" t="str">
        <f t="shared" si="53"/>
        <v>-13.28371051, -18.97564288, -25.52885147, 0.884833073, 5.184772185, 3.537069363, 3.305356623</v>
      </c>
      <c r="Y134" t="str">
        <f t="shared" si="53"/>
        <v>0, -11.5663224179831, 19.1399940224049, 15.7598914585253, 30.8303549890679, 18.0563101279001, 11.3101595389471</v>
      </c>
      <c r="Z134" t="str">
        <f t="shared" si="53"/>
        <v>1.39523276, 1.18076934, 4.34678924, 0.95742858, 0.9163409, 0.8309766, 0.81830724</v>
      </c>
      <c r="AA134" t="str">
        <f t="shared" si="53"/>
        <v>0, 0, 0, 0, 0, 0, 0</v>
      </c>
      <c r="AB134" s="14" t="str">
        <f t="shared" si="53"/>
        <v>1.87101226, 2.66789204, 3.62120346, 0.60295882, 0.95386916, 0.74073612, 0.667599</v>
      </c>
      <c r="AC134" t="str">
        <f t="shared" si="53"/>
        <v>7.25845118104039, 4.78488049933669, 11.2869175024665, 6.87477719310005, 12.9494656552325, 7.6908565402424, 4.64731600003973</v>
      </c>
      <c r="AD134" t="str">
        <f t="shared" si="53"/>
        <v>16.11840768, 20.76691521, 26.11550101, 3.324615456, 4.831549499, 0.436654755, 3.959315776</v>
      </c>
      <c r="AE134" t="str">
        <f t="shared" si="53"/>
        <v>0, 0, 0, 0, 0, 0, 0</v>
      </c>
      <c r="AF134" t="str">
        <f t="shared" si="53"/>
        <v>12.63742724, 13.49057024, 12.12077718, 3.066726265, 5.896855427, 3.389267433, 2.778244129</v>
      </c>
      <c r="AG134" t="str">
        <f t="shared" si="53"/>
        <v>61.5930018627564, 75.4391640981209, 75.3402405015993, 2.16522502666567, 25.0992616462102, 7.82694590278409, 18.761701759568</v>
      </c>
    </row>
    <row r="135" spans="4:41" x14ac:dyDescent="0.25">
      <c r="F135" s="6">
        <v>5</v>
      </c>
      <c r="G135" s="6" t="s">
        <v>61</v>
      </c>
      <c r="H135" s="15">
        <f>H75</f>
        <v>1.328785613</v>
      </c>
      <c r="I135" s="15">
        <f>L75</f>
        <v>0</v>
      </c>
      <c r="J135" s="15">
        <f>P75</f>
        <v>0.46943170499999998</v>
      </c>
      <c r="K135" s="15">
        <f>X75</f>
        <v>2.170661227702074</v>
      </c>
      <c r="L135" s="15">
        <f>I75</f>
        <v>0.64898237999999997</v>
      </c>
      <c r="M135" s="15">
        <f>M75</f>
        <v>0</v>
      </c>
      <c r="N135" s="15">
        <f>Q75</f>
        <v>0.51708284000000004</v>
      </c>
      <c r="O135" s="15">
        <f>Y75</f>
        <v>1.260955704946263</v>
      </c>
      <c r="P135">
        <f>ABS(H76)</f>
        <v>4.0999805560000002</v>
      </c>
      <c r="Q135">
        <f>ABS(L76)</f>
        <v>0</v>
      </c>
      <c r="R135">
        <f>ABS(P76)</f>
        <v>3.3917512859999999</v>
      </c>
      <c r="S135">
        <f>ABS(X76)</f>
        <v>12.29647912278284</v>
      </c>
      <c r="V135" t="str">
        <f t="shared" si="52"/>
        <v>-3.617225193, -0.809490124, -33.786318, 4.391613358, 3.477211135, 2.447795254, 3.291470927, 1.328785613</v>
      </c>
      <c r="W135" t="str">
        <f t="shared" si="53"/>
        <v>No corrió, 0, 0, 0, 0, 0, 0, 0</v>
      </c>
      <c r="X135" t="str">
        <f t="shared" si="53"/>
        <v>-13.28371051, -18.97564288, -25.52885147, 0.884833073, 5.184772185, 3.537069363, 3.305356623, 0.469431705</v>
      </c>
      <c r="Y135" t="str">
        <f t="shared" si="53"/>
        <v>0, -11.5663224179831, 19.1399940224049, 15.7598914585253, 30.8303549890679, 18.0563101279001, 11.3101595389471, 2.17066122770207</v>
      </c>
      <c r="Z135" t="str">
        <f t="shared" si="53"/>
        <v>1.39523276, 1.18076934, 4.34678924, 0.95742858, 0.9163409, 0.8309766, 0.81830724, 0.64898238</v>
      </c>
      <c r="AA135" t="str">
        <f t="shared" si="53"/>
        <v>0, 0, 0, 0, 0, 0, 0, 0</v>
      </c>
      <c r="AB135" s="14" t="str">
        <f t="shared" si="53"/>
        <v>1.87101226, 2.66789204, 3.62120346, 0.60295882, 0.95386916, 0.74073612, 0.667599, 0.51708284</v>
      </c>
      <c r="AC135" t="str">
        <f t="shared" si="53"/>
        <v>7.25845118104039, 4.78488049933669, 11.2869175024665, 6.87477719310005, 12.9494656552325, 7.6908565402424, 4.64731600003973, 1.26095570494626</v>
      </c>
      <c r="AD135" t="str">
        <f t="shared" si="53"/>
        <v>16.11840768, 20.76691521, 26.11550101, 3.324615456, 4.831549499, 0.436654755, 3.959315776, 4.099980556</v>
      </c>
      <c r="AE135" t="str">
        <f t="shared" si="53"/>
        <v>0, 0, 0, 0, 0, 0, 0, 0</v>
      </c>
      <c r="AF135" t="str">
        <f t="shared" si="53"/>
        <v>12.63742724, 13.49057024, 12.12077718, 3.066726265, 5.896855427, 3.389267433, 2.778244129, 3.391751286</v>
      </c>
      <c r="AG135" t="str">
        <f t="shared" si="53"/>
        <v>61.5930018627564, 75.4391640981209, 75.3402405015993, 2.16522502666567, 25.0992616462102, 7.82694590278409, 18.761701759568, 12.2964791227828</v>
      </c>
      <c r="AN135" s="6"/>
      <c r="AO135" s="6"/>
    </row>
    <row r="136" spans="4:41" x14ac:dyDescent="0.25">
      <c r="F136" s="6">
        <v>5</v>
      </c>
      <c r="G136" s="6" t="s">
        <v>112</v>
      </c>
      <c r="H136" s="15">
        <f>H77</f>
        <v>-0.36962945600000002</v>
      </c>
      <c r="I136" s="15">
        <f>L77</f>
        <v>0</v>
      </c>
      <c r="J136" s="15">
        <f>P77</f>
        <v>-0.97607116199999999</v>
      </c>
      <c r="K136" s="15">
        <f>X77</f>
        <v>-0.7023728093913052</v>
      </c>
      <c r="L136" s="15">
        <f>I77</f>
        <v>0.57729702000000005</v>
      </c>
      <c r="M136" s="15">
        <f>M77</f>
        <v>0</v>
      </c>
      <c r="N136" s="15">
        <f>Q77</f>
        <v>0.46963607999999996</v>
      </c>
      <c r="O136" s="15">
        <f>Y77</f>
        <v>1.3510931412717662</v>
      </c>
      <c r="P136">
        <f>ABS(H78)</f>
        <v>0.67844478900000005</v>
      </c>
      <c r="Q136">
        <f>ABS(L78)</f>
        <v>0</v>
      </c>
      <c r="R136">
        <f>ABS(P78)</f>
        <v>1.836565877</v>
      </c>
      <c r="S136">
        <f>ABS(X78)</f>
        <v>2.12166827802525</v>
      </c>
      <c r="V136" t="str">
        <f t="shared" si="52"/>
        <v>-3.617225193, -0.809490124, -33.786318, 4.391613358, 3.477211135, 2.447795254, 3.291470927, 1.328785613, -0.369629456</v>
      </c>
      <c r="W136" t="str">
        <f t="shared" si="53"/>
        <v>No corrió, 0, 0, 0, 0, 0, 0, 0, 0</v>
      </c>
      <c r="X136" t="str">
        <f t="shared" si="53"/>
        <v>-13.28371051, -18.97564288, -25.52885147, 0.884833073, 5.184772185, 3.537069363, 3.305356623, 0.469431705, -0.976071162</v>
      </c>
      <c r="Y136" t="str">
        <f t="shared" si="53"/>
        <v>0, -11.5663224179831, 19.1399940224049, 15.7598914585253, 30.8303549890679, 18.0563101279001, 11.3101595389471, 2.17066122770207, -0.702372809391305</v>
      </c>
      <c r="Z136" t="str">
        <f t="shared" si="53"/>
        <v>1.39523276, 1.18076934, 4.34678924, 0.95742858, 0.9163409, 0.8309766, 0.81830724, 0.64898238, 0.57729702</v>
      </c>
      <c r="AA136" t="str">
        <f t="shared" si="53"/>
        <v>0, 0, 0, 0, 0, 0, 0, 0, 0</v>
      </c>
      <c r="AB136" s="14" t="str">
        <f t="shared" si="53"/>
        <v>1.87101226, 2.66789204, 3.62120346, 0.60295882, 0.95386916, 0.74073612, 0.667599, 0.51708284, 0.46963608</v>
      </c>
      <c r="AC136" t="str">
        <f t="shared" si="53"/>
        <v>7.25845118104039, 4.78488049933669, 11.2869175024665, 6.87477719310005, 12.9494656552325, 7.6908565402424, 4.64731600003973, 1.26095570494626, 1.35109314127177</v>
      </c>
      <c r="AD136" t="str">
        <f t="shared" si="53"/>
        <v>16.11840768, 20.76691521, 26.11550101, 3.324615456, 4.831549499, 0.436654755, 3.959315776, 4.099980556, 0.678444789</v>
      </c>
      <c r="AE136" t="str">
        <f t="shared" si="53"/>
        <v>0, 0, 0, 0, 0, 0, 0, 0, 0</v>
      </c>
      <c r="AF136" t="str">
        <f t="shared" si="53"/>
        <v>12.63742724, 13.49057024, 12.12077718, 3.066726265, 5.896855427, 3.389267433, 2.778244129, 3.391751286, 1.836565877</v>
      </c>
      <c r="AG136" t="str">
        <f t="shared" si="53"/>
        <v>61.5930018627564, 75.4391640981209, 75.3402405015993, 2.16522502666567, 25.0992616462102, 7.82694590278409, 18.761701759568, 12.2964791227828, 2.12166827802525</v>
      </c>
    </row>
    <row r="137" spans="4:41" ht="15.75" thickBot="1" x14ac:dyDescent="0.3">
      <c r="F137" s="8">
        <v>5</v>
      </c>
      <c r="G137" s="6" t="s">
        <v>113</v>
      </c>
      <c r="H137" s="15">
        <f>H79</f>
        <v>-0.30623190300000003</v>
      </c>
      <c r="I137" s="15">
        <f>L79</f>
        <v>0</v>
      </c>
      <c r="J137" s="15">
        <f>P79</f>
        <v>-1.1943715930000001</v>
      </c>
      <c r="K137" s="15">
        <f>X79</f>
        <v>-2.6723911839145041E-2</v>
      </c>
      <c r="L137" s="15">
        <f>I79</f>
        <v>0.58842808000000002</v>
      </c>
      <c r="M137" s="15">
        <f>M79</f>
        <v>0</v>
      </c>
      <c r="N137" s="15">
        <f>Q79</f>
        <v>0.49777380000000004</v>
      </c>
      <c r="O137" s="15">
        <f>Y79</f>
        <v>1.2421768647923233</v>
      </c>
      <c r="P137">
        <f>ABS(H80)</f>
        <v>3.2010158689999999</v>
      </c>
      <c r="Q137">
        <f>ABS(L80)</f>
        <v>0</v>
      </c>
      <c r="R137">
        <f>ABS(P80)</f>
        <v>2.8488690339999998</v>
      </c>
      <c r="S137">
        <f>ABS(X80)</f>
        <v>3.5128078646197602</v>
      </c>
      <c r="V137" s="22" t="s">
        <v>182</v>
      </c>
      <c r="W137" s="22" t="s">
        <v>135</v>
      </c>
      <c r="X137" s="22" t="s">
        <v>183</v>
      </c>
      <c r="Y137" s="22" t="s">
        <v>184</v>
      </c>
      <c r="Z137" s="27" t="s">
        <v>227</v>
      </c>
      <c r="AA137" s="27" t="s">
        <v>135</v>
      </c>
      <c r="AB137" s="48" t="s">
        <v>228</v>
      </c>
      <c r="AC137" s="27" t="s">
        <v>229</v>
      </c>
      <c r="AD137" s="26" t="s">
        <v>185</v>
      </c>
      <c r="AE137" s="26" t="s">
        <v>135</v>
      </c>
      <c r="AF137" s="26" t="s">
        <v>186</v>
      </c>
      <c r="AG137" s="26" t="s">
        <v>187</v>
      </c>
    </row>
    <row r="138" spans="4:41" x14ac:dyDescent="0.25">
      <c r="G138" s="6" t="s">
        <v>114</v>
      </c>
      <c r="H138" s="15">
        <f>H82</f>
        <v>-32.976827880000002</v>
      </c>
      <c r="I138" s="15">
        <f>L82</f>
        <v>0</v>
      </c>
      <c r="J138" s="15">
        <f>P82</f>
        <v>-6.5532085899999997</v>
      </c>
      <c r="K138" s="15">
        <f>X82</f>
        <v>30.70631644038798</v>
      </c>
      <c r="L138" s="15">
        <f>I82</f>
        <v>7.0729773799999993</v>
      </c>
      <c r="M138" s="15">
        <f>M82</f>
        <v>0</v>
      </c>
      <c r="N138" s="15">
        <f>Q82</f>
        <v>2.7240871000000002</v>
      </c>
      <c r="O138" s="15">
        <f>Y82</f>
        <v>4.7527742305686695</v>
      </c>
      <c r="Q138" s="15"/>
      <c r="R138" s="15"/>
      <c r="S138" s="15"/>
      <c r="T138" s="15"/>
      <c r="AB138" s="14"/>
    </row>
    <row r="139" spans="4:41" x14ac:dyDescent="0.25">
      <c r="G139" s="6" t="s">
        <v>115</v>
      </c>
      <c r="H139" s="15">
        <f>H83</f>
        <v>-2.807735069</v>
      </c>
      <c r="I139" s="15">
        <f>L83</f>
        <v>0</v>
      </c>
      <c r="J139" s="15">
        <f>P83</f>
        <v>5.6919323730000002</v>
      </c>
      <c r="K139" s="15">
        <f>X83</f>
        <v>-7.9846052864244346</v>
      </c>
      <c r="L139" s="15">
        <f>I83</f>
        <v>0.99823174000000003</v>
      </c>
      <c r="M139" s="15">
        <f>M83</f>
        <v>0</v>
      </c>
      <c r="N139" s="15">
        <f>Q83</f>
        <v>1.51765814</v>
      </c>
      <c r="O139" s="15">
        <f>Y83</f>
        <v>1.6915028003629573</v>
      </c>
      <c r="AB139" s="14"/>
    </row>
    <row r="140" spans="4:41" ht="15.75" thickBot="1" x14ac:dyDescent="0.3">
      <c r="G140" s="8" t="s">
        <v>116</v>
      </c>
      <c r="H140" s="16">
        <f>H84</f>
        <v>0</v>
      </c>
      <c r="I140" s="16">
        <f>L84</f>
        <v>0</v>
      </c>
      <c r="J140" s="16">
        <f>P84</f>
        <v>0</v>
      </c>
      <c r="K140" s="16">
        <f>X84</f>
        <v>0</v>
      </c>
      <c r="L140" s="16">
        <f>I84</f>
        <v>0</v>
      </c>
      <c r="M140" s="16">
        <f>M84</f>
        <v>0</v>
      </c>
      <c r="N140" s="16">
        <f>Q84</f>
        <v>0</v>
      </c>
      <c r="O140" s="16">
        <f>Y84</f>
        <v>0</v>
      </c>
      <c r="P140" s="9"/>
      <c r="Q140" s="9"/>
      <c r="R140" s="16"/>
      <c r="S140" s="16"/>
      <c r="T140" s="9"/>
      <c r="U140" s="9"/>
      <c r="V140" s="9"/>
      <c r="W140" s="9"/>
      <c r="X140" s="9"/>
      <c r="Y140" s="9"/>
      <c r="Z140" s="9"/>
      <c r="AA140" s="9"/>
      <c r="AB140" s="17"/>
    </row>
    <row r="142" spans="4:41" x14ac:dyDescent="0.25"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4:41" x14ac:dyDescent="0.25"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4:41" x14ac:dyDescent="0.25"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7A5A-31F1-440B-86A6-E7996A78E10C}">
  <dimension ref="A1:AP100"/>
  <sheetViews>
    <sheetView zoomScale="73" zoomScaleNormal="112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11" sqref="L11"/>
    </sheetView>
  </sheetViews>
  <sheetFormatPr defaultColWidth="11.42578125" defaultRowHeight="15" x14ac:dyDescent="0.25"/>
  <cols>
    <col min="2" max="2" width="38.5703125" customWidth="1"/>
    <col min="3" max="3" width="0.140625" customWidth="1"/>
    <col min="7" max="7" width="14.42578125" customWidth="1"/>
    <col min="8" max="8" width="15.85546875" bestFit="1" customWidth="1"/>
    <col min="21" max="21" width="9.140625" customWidth="1"/>
    <col min="22" max="22" width="15" customWidth="1"/>
  </cols>
  <sheetData>
    <row r="1" spans="1:42" x14ac:dyDescent="0.25">
      <c r="B1" t="s">
        <v>12</v>
      </c>
      <c r="D1" s="1"/>
      <c r="H1" s="4" t="s">
        <v>14</v>
      </c>
      <c r="I1" s="1"/>
      <c r="L1" s="1" t="s">
        <v>136</v>
      </c>
      <c r="P1" s="1" t="s">
        <v>117</v>
      </c>
      <c r="T1" s="1"/>
      <c r="X1" s="1" t="s">
        <v>17</v>
      </c>
      <c r="AG1" s="1"/>
      <c r="AM1" s="1" t="s">
        <v>18</v>
      </c>
    </row>
    <row r="2" spans="1:42" x14ac:dyDescent="0.25">
      <c r="A2" s="4"/>
      <c r="C2" t="s">
        <v>20</v>
      </c>
      <c r="H2" t="s">
        <v>21</v>
      </c>
      <c r="I2" t="s">
        <v>22</v>
      </c>
      <c r="J2" t="s">
        <v>23</v>
      </c>
      <c r="L2" t="s">
        <v>21</v>
      </c>
      <c r="M2" t="s">
        <v>22</v>
      </c>
      <c r="N2" t="s">
        <v>23</v>
      </c>
      <c r="P2" t="s">
        <v>21</v>
      </c>
      <c r="Q2" t="s">
        <v>22</v>
      </c>
      <c r="R2" t="s">
        <v>23</v>
      </c>
      <c r="X2" t="s">
        <v>21</v>
      </c>
      <c r="Y2" t="s">
        <v>22</v>
      </c>
      <c r="Z2" t="s">
        <v>23</v>
      </c>
      <c r="AM2" t="s">
        <v>20</v>
      </c>
      <c r="AN2" t="s">
        <v>21</v>
      </c>
      <c r="AO2" t="s">
        <v>24</v>
      </c>
      <c r="AP2" t="s">
        <v>25</v>
      </c>
    </row>
    <row r="3" spans="1:42" ht="33" customHeight="1" x14ac:dyDescent="0.25">
      <c r="A3" s="4" t="s">
        <v>137</v>
      </c>
      <c r="D3" s="10"/>
      <c r="H3" s="10"/>
      <c r="X3" s="10"/>
    </row>
    <row r="4" spans="1:42" x14ac:dyDescent="0.25">
      <c r="A4" s="4"/>
      <c r="B4" s="3" t="s">
        <v>26</v>
      </c>
      <c r="C4" t="s">
        <v>75</v>
      </c>
      <c r="G4" s="2"/>
      <c r="H4" s="30">
        <v>-2.836318367855692</v>
      </c>
      <c r="I4" s="30">
        <v>2.4650232530915721</v>
      </c>
      <c r="J4" s="30">
        <v>-1.1506254005102989</v>
      </c>
      <c r="K4" s="2" t="str">
        <f t="shared" ref="K4:K9" si="0">IF(ABS(J5)&gt;2.576,"***",IF(ABS(J5)&gt;1.96,"**",IF(ABS(J5)&gt;1.645,"*","")))</f>
        <v>***</v>
      </c>
      <c r="L4" s="47" t="s">
        <v>257</v>
      </c>
      <c r="O4" s="2" t="str">
        <f>IF(ABS(N4)&gt;2.576,"***",IF(ABS(N4)&gt;1.96,"**",IF(ABS(N4)&gt;1.645,"*","")))</f>
        <v/>
      </c>
      <c r="P4" s="30">
        <v>-12.501255797344228</v>
      </c>
      <c r="Q4" s="30">
        <v>1.7631173849107105</v>
      </c>
      <c r="R4" s="30">
        <v>-7.0904273897664103</v>
      </c>
      <c r="S4" s="2" t="str">
        <f t="shared" ref="S4:S9" si="1">IF(ABS(R4)&gt;2.576,"***",IF(ABS(R4)&gt;1.96,"**",IF(ABS(R4)&gt;1.645,"*","")))</f>
        <v>***</v>
      </c>
      <c r="W4" s="2" t="str">
        <f t="shared" ref="W4:W9" si="2">IF(ABS(V4)&gt;2.576,"***",IF(ABS(V4)&gt;1.96,"**",IF(ABS(V4)&gt;1.645,"*","")))</f>
        <v/>
      </c>
      <c r="X4" s="31">
        <v>-16.245702547411998</v>
      </c>
      <c r="Y4" s="30">
        <v>0.11744323972279801</v>
      </c>
      <c r="Z4" s="30">
        <v>-6.916405995677926</v>
      </c>
      <c r="AA4" s="2" t="str">
        <f t="shared" ref="AA4:AA9" si="3">IF(ABS(Z4)&gt;2.576,"***",IF(ABS(Z4)&gt;1.96,"**",IF(ABS(Z4)&gt;1.645,"*","")))</f>
        <v>***</v>
      </c>
    </row>
    <row r="5" spans="1:42" x14ac:dyDescent="0.25">
      <c r="A5" s="4"/>
      <c r="C5" t="s">
        <v>76</v>
      </c>
      <c r="G5" s="2"/>
      <c r="H5" s="30">
        <v>31.9494526044633</v>
      </c>
      <c r="I5" s="30">
        <v>10.223364729476486</v>
      </c>
      <c r="J5" s="30">
        <v>3.1251406410597018</v>
      </c>
      <c r="K5" s="2" t="str">
        <f t="shared" si="0"/>
        <v/>
      </c>
      <c r="O5" s="2" t="str">
        <f t="shared" ref="O5:O30" si="4">IF(ABS(N5)&gt;2.576,"***",IF(ABS(N5)&gt;1.96,"**",IF(ABS(N5)&gt;1.645,"*","")))</f>
        <v/>
      </c>
      <c r="P5" s="30">
        <v>-10.99062018143935</v>
      </c>
      <c r="Q5" s="30">
        <v>1.672531652499992</v>
      </c>
      <c r="R5" s="30">
        <v>-6.5712479432071031</v>
      </c>
      <c r="S5" s="2" t="str">
        <f t="shared" si="1"/>
        <v>***</v>
      </c>
      <c r="W5" s="2" t="str">
        <f t="shared" si="2"/>
        <v/>
      </c>
      <c r="X5" s="30">
        <v>-51.138632261301439</v>
      </c>
      <c r="Y5" s="30">
        <v>0.40240888684069831</v>
      </c>
      <c r="Z5" s="30">
        <v>-6.3540634828904379</v>
      </c>
      <c r="AA5" s="2" t="str">
        <f t="shared" si="3"/>
        <v>***</v>
      </c>
    </row>
    <row r="6" spans="1:42" x14ac:dyDescent="0.25">
      <c r="A6" s="4"/>
      <c r="B6" s="3" t="s">
        <v>31</v>
      </c>
      <c r="C6" t="s">
        <v>77</v>
      </c>
      <c r="G6" s="2"/>
      <c r="H6" s="30">
        <v>-4.8462313499335776</v>
      </c>
      <c r="I6" s="30">
        <v>3.0322175238752642</v>
      </c>
      <c r="J6" s="30">
        <v>-1.598246600639637</v>
      </c>
      <c r="K6" s="2" t="str">
        <f t="shared" si="0"/>
        <v>***</v>
      </c>
      <c r="O6" s="2" t="str">
        <f t="shared" si="4"/>
        <v/>
      </c>
      <c r="P6" s="30">
        <v>-17.068449870031614</v>
      </c>
      <c r="Q6" s="30">
        <v>2.462459337574602</v>
      </c>
      <c r="R6" s="30">
        <v>-6.9314646579476831</v>
      </c>
      <c r="S6" s="2" t="str">
        <f t="shared" si="1"/>
        <v>***</v>
      </c>
      <c r="W6" s="2" t="str">
        <f t="shared" si="2"/>
        <v/>
      </c>
      <c r="X6" s="30">
        <v>-20.778697435199959</v>
      </c>
      <c r="Y6" s="30">
        <v>0.15965666269944839</v>
      </c>
      <c r="Z6" s="30">
        <v>-6.5073067054882552</v>
      </c>
      <c r="AA6" s="2" t="str">
        <f t="shared" si="3"/>
        <v>***</v>
      </c>
    </row>
    <row r="7" spans="1:42" x14ac:dyDescent="0.25">
      <c r="A7" s="4"/>
      <c r="C7" t="s">
        <v>78</v>
      </c>
      <c r="G7" s="2"/>
      <c r="H7" s="30">
        <v>39.139549248224597</v>
      </c>
      <c r="I7" s="30">
        <v>12.416053275979845</v>
      </c>
      <c r="J7" s="30">
        <v>3.1523341901201531</v>
      </c>
      <c r="K7" s="2" t="str">
        <f t="shared" si="0"/>
        <v>***</v>
      </c>
      <c r="O7" s="2" t="str">
        <f t="shared" si="4"/>
        <v/>
      </c>
      <c r="P7" s="30">
        <v>15.064958316193378</v>
      </c>
      <c r="Q7" s="30">
        <v>2.361263210569684</v>
      </c>
      <c r="R7" s="30">
        <v>6.3800419405843227</v>
      </c>
      <c r="S7" s="2" t="str">
        <f t="shared" si="1"/>
        <v>***</v>
      </c>
      <c r="W7" s="2" t="str">
        <f t="shared" si="2"/>
        <v/>
      </c>
      <c r="X7" s="30">
        <v>-52.955388741912877</v>
      </c>
      <c r="Y7" s="30">
        <v>0.42287498458748929</v>
      </c>
      <c r="Z7" s="30">
        <v>-6.2613527250341354</v>
      </c>
      <c r="AA7" s="2" t="str">
        <f t="shared" si="3"/>
        <v>***</v>
      </c>
    </row>
    <row r="8" spans="1:42" x14ac:dyDescent="0.25">
      <c r="A8" s="4"/>
      <c r="B8" s="3" t="s">
        <v>36</v>
      </c>
      <c r="C8" t="s">
        <v>79</v>
      </c>
      <c r="G8" s="2"/>
      <c r="H8" s="30">
        <v>-53.58099150485134</v>
      </c>
      <c r="I8" s="30">
        <v>16.124049907439812</v>
      </c>
      <c r="J8" s="30">
        <v>-3.3230479818924699</v>
      </c>
      <c r="K8" s="2" t="str">
        <f t="shared" si="0"/>
        <v>**</v>
      </c>
      <c r="O8" s="2" t="str">
        <f t="shared" si="4"/>
        <v/>
      </c>
      <c r="P8" s="30">
        <v>-24.812063889959141</v>
      </c>
      <c r="Q8" s="30">
        <v>3.4937399130248799</v>
      </c>
      <c r="R8" s="30">
        <v>-7.1018634780048213</v>
      </c>
      <c r="S8" s="2" t="str">
        <f t="shared" si="1"/>
        <v>***</v>
      </c>
      <c r="W8" s="2" t="str">
        <f t="shared" si="2"/>
        <v/>
      </c>
      <c r="X8" s="30">
        <v>-15.893759563778582</v>
      </c>
      <c r="Y8" s="30">
        <v>0.14538580878548521</v>
      </c>
      <c r="Z8" s="30">
        <v>-5.4660629178841003</v>
      </c>
      <c r="AA8" s="2" t="str">
        <f t="shared" si="3"/>
        <v>***</v>
      </c>
    </row>
    <row r="9" spans="1:42" x14ac:dyDescent="0.25">
      <c r="A9" s="4"/>
      <c r="C9" t="s">
        <v>80</v>
      </c>
      <c r="G9" s="2"/>
      <c r="H9" s="30">
        <v>-6.7280788877561815</v>
      </c>
      <c r="I9" s="30">
        <v>2.6379647117204281</v>
      </c>
      <c r="J9" s="30">
        <v>-2.5504810044893529</v>
      </c>
      <c r="K9" s="2" t="str">
        <f t="shared" si="0"/>
        <v>**</v>
      </c>
      <c r="O9" s="2" t="str">
        <f t="shared" si="4"/>
        <v/>
      </c>
      <c r="P9" s="30">
        <v>-17.207088834607731</v>
      </c>
      <c r="Q9" s="30">
        <v>2.6050916672222679</v>
      </c>
      <c r="R9" s="30">
        <v>-6.605175952581793</v>
      </c>
      <c r="S9" s="2" t="str">
        <f t="shared" si="1"/>
        <v>***</v>
      </c>
      <c r="W9" s="2" t="str">
        <f t="shared" si="2"/>
        <v/>
      </c>
      <c r="X9" s="30">
        <v>-56.88970038426416</v>
      </c>
      <c r="Y9" s="30">
        <v>0.45342085456562981</v>
      </c>
      <c r="Z9" s="30">
        <v>-6.2733881570978474</v>
      </c>
      <c r="AA9" s="2" t="str">
        <f t="shared" si="3"/>
        <v>***</v>
      </c>
    </row>
    <row r="10" spans="1:42" x14ac:dyDescent="0.25">
      <c r="A10" s="4"/>
      <c r="C10" t="s">
        <v>81</v>
      </c>
      <c r="G10" s="2"/>
      <c r="H10" s="30">
        <v>18.215422875368677</v>
      </c>
      <c r="I10" s="30">
        <v>7.2471643850868297</v>
      </c>
      <c r="J10" s="30">
        <v>2.5134551815676018</v>
      </c>
      <c r="K10" s="2"/>
      <c r="O10" s="2" t="str">
        <f t="shared" si="4"/>
        <v/>
      </c>
      <c r="P10" s="30">
        <v>23.531262003149941</v>
      </c>
      <c r="Q10" s="30">
        <v>3.546464549920004</v>
      </c>
      <c r="R10" s="30">
        <v>6.6351324458271339</v>
      </c>
      <c r="S10" s="2"/>
      <c r="W10" s="2"/>
      <c r="X10" s="30">
        <v>22.71798842445736</v>
      </c>
      <c r="Y10" s="30">
        <v>0.18243613034019529</v>
      </c>
      <c r="Z10" s="30">
        <v>6.2262854353724526</v>
      </c>
      <c r="AA10" s="2"/>
    </row>
    <row r="11" spans="1:42" x14ac:dyDescent="0.25">
      <c r="A11" s="4"/>
      <c r="C11" t="s">
        <v>82</v>
      </c>
      <c r="G11" s="2"/>
      <c r="H11" s="30">
        <v>19.600065880323385</v>
      </c>
      <c r="I11" s="30">
        <v>2.1714995007914002</v>
      </c>
      <c r="J11" s="30">
        <v>9.0260512945916727</v>
      </c>
      <c r="K11" s="2"/>
      <c r="O11" s="2" t="str">
        <f t="shared" si="4"/>
        <v/>
      </c>
      <c r="P11" s="30">
        <v>-13.986588690236893</v>
      </c>
      <c r="Q11" s="30">
        <v>1.5508782308501659</v>
      </c>
      <c r="R11" s="30">
        <v>-9.018495721981779</v>
      </c>
      <c r="S11" s="2"/>
      <c r="W11" s="2"/>
      <c r="X11" s="30">
        <v>31.017283867794081</v>
      </c>
      <c r="Y11" s="30">
        <v>7.4532443849798347E-2</v>
      </c>
      <c r="Z11" s="30">
        <v>20.80790744652203</v>
      </c>
      <c r="AA11" s="2"/>
    </row>
    <row r="12" spans="1:42" x14ac:dyDescent="0.25">
      <c r="B12" t="s">
        <v>46</v>
      </c>
      <c r="C12" t="s">
        <v>83</v>
      </c>
      <c r="G12" s="2"/>
      <c r="H12" s="30">
        <v>8.1797309755577494</v>
      </c>
      <c r="I12" s="30">
        <v>3.231048334738654</v>
      </c>
      <c r="J12" s="30">
        <v>2.5316027889812949</v>
      </c>
      <c r="K12" s="2" t="str">
        <f>IF(ABS(J13)&gt;2.576,"***",IF(ABS(J13)&gt;1.96,"**",IF(ABS(J13)&gt;1.645,"*","")))</f>
        <v>**</v>
      </c>
      <c r="O12" s="2" t="str">
        <f t="shared" si="4"/>
        <v/>
      </c>
      <c r="P12" s="30">
        <v>2.1480615569328081</v>
      </c>
      <c r="Q12" s="30">
        <v>0.73703955733698256</v>
      </c>
      <c r="R12" s="30">
        <v>2.9144454127998589</v>
      </c>
      <c r="S12" s="2" t="str">
        <f>IF(ABS(R12)&gt;2.576,"***",IF(ABS(R12)&gt;1.96,"**",IF(ABS(R12)&gt;1.645,"*","")))</f>
        <v>***</v>
      </c>
      <c r="W12" s="2" t="str">
        <f>IF(ABS(V12)&gt;2.576,"***",IF(ABS(V12)&gt;1.96,"**",IF(ABS(V12)&gt;1.645,"*","")))</f>
        <v/>
      </c>
      <c r="X12" s="30">
        <v>8.936864621976472</v>
      </c>
      <c r="Y12" s="30">
        <v>7.5555652105236959E-2</v>
      </c>
      <c r="Z12" s="30">
        <v>5.9140940306681804</v>
      </c>
      <c r="AA12" s="2" t="str">
        <f>IF(ABS(Z12)&gt;2.576,"***",IF(ABS(Z12)&gt;1.96,"**",IF(ABS(Z12)&gt;1.645,"*","")))</f>
        <v>***</v>
      </c>
    </row>
    <row r="13" spans="1:42" x14ac:dyDescent="0.25">
      <c r="C13" t="s">
        <v>84</v>
      </c>
      <c r="G13" s="2"/>
      <c r="H13" s="30">
        <v>8.2484717307369806</v>
      </c>
      <c r="I13" s="30">
        <v>3.7274266107506082</v>
      </c>
      <c r="J13" s="30">
        <v>2.2129132487670762</v>
      </c>
      <c r="K13" s="2"/>
      <c r="O13" s="2" t="str">
        <f t="shared" si="4"/>
        <v/>
      </c>
      <c r="P13" s="30">
        <v>-2.3180494684966422</v>
      </c>
      <c r="Q13" s="30">
        <v>1.2914353494142381</v>
      </c>
      <c r="R13" s="30">
        <v>-1.794940389039257</v>
      </c>
      <c r="S13" s="2"/>
      <c r="W13" s="2"/>
      <c r="X13" s="30">
        <v>2.1973860691048817</v>
      </c>
      <c r="Y13" s="30">
        <v>3.079528769013664E-2</v>
      </c>
      <c r="Z13" s="30">
        <v>3.5677310295248148</v>
      </c>
      <c r="AA13" s="2"/>
    </row>
    <row r="14" spans="1:42" x14ac:dyDescent="0.25">
      <c r="B14" t="s">
        <v>51</v>
      </c>
      <c r="C14" t="s">
        <v>85</v>
      </c>
      <c r="G14" s="2"/>
      <c r="H14" s="30">
        <v>5.0407736277747484</v>
      </c>
      <c r="I14" s="30">
        <v>2.3464738355461119</v>
      </c>
      <c r="J14" s="30">
        <v>2.1482334690519029</v>
      </c>
      <c r="K14" s="2" t="str">
        <f>IF(ABS(J15)&gt;2.576,"***",IF(ABS(J15)&gt;1.96,"**",IF(ABS(J15)&gt;1.645,"*","")))</f>
        <v>***</v>
      </c>
      <c r="O14" s="2" t="str">
        <f t="shared" si="4"/>
        <v/>
      </c>
      <c r="P14" s="30">
        <v>5.3082785074355199</v>
      </c>
      <c r="Q14" s="30">
        <v>0.91942709399125977</v>
      </c>
      <c r="R14" s="30">
        <v>5.7734632165255526</v>
      </c>
      <c r="S14" s="2" t="str">
        <f>IF(ABS(R14)&gt;2.576,"***",IF(ABS(R14)&gt;1.96,"**",IF(ABS(R14)&gt;1.645,"*","")))</f>
        <v>***</v>
      </c>
      <c r="W14" s="2" t="str">
        <f>IF(ABS(V14)&gt;2.576,"***",IF(ABS(V14)&gt;1.96,"**",IF(ABS(V14)&gt;1.645,"*","")))</f>
        <v/>
      </c>
      <c r="X14" s="30">
        <v>18.472179945562583</v>
      </c>
      <c r="Y14" s="30">
        <v>0.14350243564314949</v>
      </c>
      <c r="Z14" s="30">
        <v>6.4361903903491022</v>
      </c>
      <c r="AA14" s="2" t="str">
        <f>IF(ABS(Z14)&gt;2.576,"***",IF(ABS(Z14)&gt;1.96,"**",IF(ABS(Z14)&gt;1.645,"*","")))</f>
        <v>***</v>
      </c>
    </row>
    <row r="15" spans="1:42" x14ac:dyDescent="0.25">
      <c r="C15" t="s">
        <v>86</v>
      </c>
      <c r="G15" s="2"/>
      <c r="H15" s="30">
        <v>20.620663140491882</v>
      </c>
      <c r="I15" s="30">
        <v>6.6641000245719786</v>
      </c>
      <c r="J15" s="30">
        <v>3.0942907616120761</v>
      </c>
      <c r="K15" s="2"/>
      <c r="O15" s="2" t="str">
        <f t="shared" si="4"/>
        <v/>
      </c>
      <c r="P15" s="30">
        <v>5.2591521411984861</v>
      </c>
      <c r="Q15" s="30">
        <v>0.95358378593923598</v>
      </c>
      <c r="R15" s="30">
        <v>5.5151442576369574</v>
      </c>
      <c r="S15" s="2"/>
      <c r="W15" s="2"/>
      <c r="X15" s="30">
        <v>-9.0321027366983238</v>
      </c>
      <c r="Y15" s="30">
        <v>7.5483170900352878E-2</v>
      </c>
      <c r="Z15" s="30">
        <v>-5.9828585822274318</v>
      </c>
      <c r="AA15" s="2"/>
    </row>
    <row r="16" spans="1:42" x14ac:dyDescent="0.25">
      <c r="B16" t="s">
        <v>55</v>
      </c>
      <c r="C16" t="s">
        <v>87</v>
      </c>
      <c r="G16" s="2"/>
      <c r="H16" s="30">
        <v>7.4831704111421811</v>
      </c>
      <c r="I16" s="30">
        <v>2.8113714468195701</v>
      </c>
      <c r="J16" s="30">
        <v>2.6617508759319932</v>
      </c>
      <c r="K16" s="2" t="str">
        <f>IF(ABS(J17)&gt;2.576,"***",IF(ABS(J17)&gt;1.96,"**",IF(ABS(J17)&gt;1.645,"*","")))</f>
        <v/>
      </c>
      <c r="O16" s="2" t="str">
        <f t="shared" si="4"/>
        <v/>
      </c>
      <c r="P16" s="30">
        <v>3.047756126579622</v>
      </c>
      <c r="Q16" s="30">
        <v>0.73671589601121479</v>
      </c>
      <c r="R16" s="30">
        <v>4.136949050619136</v>
      </c>
      <c r="S16" s="2" t="str">
        <f>IF(ABS(R16)&gt;2.576,"***",IF(ABS(R16)&gt;1.96,"**",IF(ABS(R16)&gt;1.645,"*","")))</f>
        <v>***</v>
      </c>
      <c r="W16" s="2" t="str">
        <f>IF(ABS(V16)&gt;2.576,"***",IF(ABS(V16)&gt;1.96,"**",IF(ABS(V16)&gt;1.645,"*","")))</f>
        <v/>
      </c>
      <c r="X16" s="30">
        <v>10.728354994198259</v>
      </c>
      <c r="Y16" s="30">
        <v>8.6972912473952613E-2</v>
      </c>
      <c r="Z16" s="30">
        <v>6.1676415616248788</v>
      </c>
      <c r="AA16" s="2" t="str">
        <f>IF(ABS(Z16)&gt;2.576,"***",IF(ABS(Z16)&gt;1.96,"**",IF(ABS(Z16)&gt;1.645,"*","")))</f>
        <v>***</v>
      </c>
    </row>
    <row r="17" spans="2:27" x14ac:dyDescent="0.25">
      <c r="C17" t="s">
        <v>88</v>
      </c>
      <c r="G17" s="2"/>
      <c r="H17" s="30">
        <v>1.2474998970191438</v>
      </c>
      <c r="I17" s="30">
        <v>3.0335891671705379</v>
      </c>
      <c r="J17" s="30">
        <v>0.4112290189190978</v>
      </c>
      <c r="K17" s="2"/>
      <c r="O17" s="2" t="str">
        <f t="shared" si="4"/>
        <v/>
      </c>
      <c r="P17" s="30">
        <v>5.0725159246772282</v>
      </c>
      <c r="Q17" s="30">
        <v>1.1239899245090885</v>
      </c>
      <c r="R17" s="30">
        <v>4.5129549776815736</v>
      </c>
      <c r="S17" s="2"/>
      <c r="W17" s="2"/>
      <c r="X17" s="30">
        <v>-3.3959372670118135</v>
      </c>
      <c r="Y17" s="30">
        <v>4.4584944342998832E-2</v>
      </c>
      <c r="Z17" s="30">
        <v>-3.808390160685573</v>
      </c>
      <c r="AA17" s="2"/>
    </row>
    <row r="18" spans="2:27" x14ac:dyDescent="0.25">
      <c r="B18" t="s">
        <v>58</v>
      </c>
      <c r="C18" t="s">
        <v>89</v>
      </c>
      <c r="G18" s="2"/>
      <c r="H18" s="30">
        <v>6.802702111409836</v>
      </c>
      <c r="I18" s="30">
        <v>2.4284056175105757</v>
      </c>
      <c r="J18" s="30">
        <v>2.8013038935330208</v>
      </c>
      <c r="K18" s="2" t="str">
        <f>IF(ABS(J19)&gt;2.576,"***",IF(ABS(J19)&gt;1.96,"**",IF(ABS(J19)&gt;1.645,"*","")))</f>
        <v>**</v>
      </c>
      <c r="O18" s="2" t="str">
        <f t="shared" si="4"/>
        <v/>
      </c>
      <c r="P18" s="30">
        <v>2.3626174735885441</v>
      </c>
      <c r="Q18" s="30">
        <v>0.60742629624980826</v>
      </c>
      <c r="R18" s="30">
        <v>3.8895541536069791</v>
      </c>
      <c r="S18" s="2" t="str">
        <f>IF(ABS(R18)&gt;2.576,"***",IF(ABS(R18)&gt;1.96,"**",IF(ABS(R18)&gt;1.645,"*","")))</f>
        <v>***</v>
      </c>
      <c r="W18" s="2" t="str">
        <f>IF(ABS(V18)&gt;2.576,"***",IF(ABS(V18)&gt;1.96,"**",IF(ABS(V18)&gt;1.645,"*","")))</f>
        <v/>
      </c>
      <c r="X18" s="30">
        <v>8.8713034272839266</v>
      </c>
      <c r="Y18" s="30">
        <v>7.2021645884921257E-2</v>
      </c>
      <c r="Z18" s="30">
        <v>6.158775822381795</v>
      </c>
      <c r="AA18" s="2" t="str">
        <f>IF(ABS(Z18)&gt;2.576,"***",IF(ABS(Z18)&gt;1.96,"**",IF(ABS(Z18)&gt;1.645,"*","")))</f>
        <v>***</v>
      </c>
    </row>
    <row r="19" spans="2:27" x14ac:dyDescent="0.25">
      <c r="C19" t="s">
        <v>90</v>
      </c>
      <c r="G19" s="2"/>
      <c r="H19" s="30">
        <v>-5.299941876185386</v>
      </c>
      <c r="I19" s="30">
        <v>2.3114169144915739</v>
      </c>
      <c r="J19" s="30">
        <v>-2.2929406819501361</v>
      </c>
      <c r="K19" s="2"/>
      <c r="O19" s="2" t="str">
        <f t="shared" si="4"/>
        <v/>
      </c>
      <c r="P19" s="30">
        <v>-4.3734041989120396</v>
      </c>
      <c r="Q19" s="30">
        <v>0.91604559217220016</v>
      </c>
      <c r="R19" s="30">
        <v>-4.7742211045865917</v>
      </c>
      <c r="S19" s="2"/>
      <c r="W19" s="2"/>
      <c r="X19" s="30">
        <v>8.7982462429579407</v>
      </c>
      <c r="Y19" s="30">
        <v>7.143837289206692E-2</v>
      </c>
      <c r="Z19" s="30">
        <v>6.1579273762651487</v>
      </c>
      <c r="AA19" s="2"/>
    </row>
    <row r="20" spans="2:27" x14ac:dyDescent="0.25">
      <c r="B20" t="s">
        <v>61</v>
      </c>
      <c r="C20" t="s">
        <v>91</v>
      </c>
      <c r="G20" s="2"/>
      <c r="H20" s="30">
        <v>3.3463389960427641</v>
      </c>
      <c r="I20" s="30">
        <v>1.7912344335406452</v>
      </c>
      <c r="J20" s="30">
        <v>1.8681747812474889</v>
      </c>
      <c r="K20" s="2" t="str">
        <f>IF(ABS(J21)&gt;2.576,"***",IF(ABS(J21)&gt;1.96,"**",IF(ABS(J21)&gt;1.645,"*","")))</f>
        <v>***</v>
      </c>
      <c r="O20" s="2" t="str">
        <f t="shared" si="4"/>
        <v/>
      </c>
      <c r="P20" s="30">
        <v>0.91047576621917925</v>
      </c>
      <c r="Q20" s="30">
        <v>0.52292019694156999</v>
      </c>
      <c r="R20" s="30">
        <v>1.741137121006848</v>
      </c>
      <c r="S20" s="2" t="str">
        <f>IF(ABS(R20)&gt;2.576,"***",IF(ABS(R20)&gt;1.96,"**",IF(ABS(R20)&gt;1.645,"*","")))</f>
        <v>*</v>
      </c>
      <c r="W20" s="2" t="str">
        <f>IF(ABS(V20)&gt;2.576,"***",IF(ABS(V20)&gt;1.96,"**",IF(ABS(V20)&gt;1.645,"*","")))</f>
        <v/>
      </c>
      <c r="X20" s="30">
        <v>2.4066457128126242</v>
      </c>
      <c r="Y20" s="30">
        <v>2.8270588008382981E-2</v>
      </c>
      <c r="Z20" s="30">
        <v>4.2564479240739326</v>
      </c>
      <c r="AA20" s="2" t="str">
        <f>IF(ABS(Z20)&gt;2.576,"***",IF(ABS(Z20)&gt;1.96,"**",IF(ABS(Z20)&gt;1.645,"*","")))</f>
        <v>***</v>
      </c>
    </row>
    <row r="21" spans="2:27" x14ac:dyDescent="0.25">
      <c r="C21" t="s">
        <v>92</v>
      </c>
      <c r="G21" s="2"/>
      <c r="H21" s="30">
        <v>-8.2821271695858254</v>
      </c>
      <c r="I21" s="30">
        <v>2.8767529883239042</v>
      </c>
      <c r="J21" s="30">
        <v>-2.8789844672799938</v>
      </c>
      <c r="K21" s="2"/>
      <c r="O21" s="2" t="str">
        <f t="shared" si="4"/>
        <v/>
      </c>
      <c r="P21" s="30">
        <v>-1.9246842085889462</v>
      </c>
      <c r="Q21" s="30">
        <v>0.84811748270384457</v>
      </c>
      <c r="R21" s="30">
        <v>-2.2693603749953941</v>
      </c>
      <c r="S21" s="2"/>
      <c r="W21" s="2"/>
      <c r="X21" s="30">
        <v>-4.8458267742189722</v>
      </c>
      <c r="Y21" s="30">
        <v>4.1928630872380253E-2</v>
      </c>
      <c r="Z21" s="30">
        <v>-5.7786608737218206</v>
      </c>
      <c r="AA21" s="2"/>
    </row>
    <row r="22" spans="2:27" x14ac:dyDescent="0.25">
      <c r="B22" t="s">
        <v>64</v>
      </c>
      <c r="C22" t="s">
        <v>138</v>
      </c>
      <c r="G22" s="2"/>
      <c r="H22" s="30">
        <v>-4.902975396319694</v>
      </c>
      <c r="I22" s="30">
        <v>2.0409068505251677</v>
      </c>
      <c r="J22" s="30">
        <v>-2.402351383679298</v>
      </c>
      <c r="K22" s="2" t="str">
        <f>IF(ABS(J23)&gt;2.576,"***",IF(ABS(J23)&gt;1.96,"**",IF(ABS(J23)&gt;1.645,"*","")))</f>
        <v>**</v>
      </c>
      <c r="O22" s="2" t="str">
        <f t="shared" si="4"/>
        <v/>
      </c>
      <c r="P22" s="30">
        <v>-2.237879582287928</v>
      </c>
      <c r="Q22" s="30">
        <v>0.58140391915304401</v>
      </c>
      <c r="R22" s="30">
        <v>-3.8490961422274941</v>
      </c>
      <c r="S22" s="2" t="str">
        <f>IF(ABS(R22)&gt;2.576,"***",IF(ABS(R22)&gt;1.96,"**",IF(ABS(R22)&gt;1.645,"*","")))</f>
        <v>***</v>
      </c>
      <c r="W22" s="2" t="str">
        <f>IF(ABS(V22)&gt;2.576,"***",IF(ABS(V22)&gt;1.96,"**",IF(ABS(V22)&gt;1.645,"*","")))</f>
        <v/>
      </c>
      <c r="X22" s="30">
        <v>-1.4522588874304865</v>
      </c>
      <c r="Y22" s="30">
        <v>2.494602044256897E-2</v>
      </c>
      <c r="Z22" s="30">
        <v>-2.9108027285832909</v>
      </c>
      <c r="AA22" s="2" t="str">
        <f>IF(ABS(Z22)&gt;2.576,"***",IF(ABS(Z22)&gt;1.96,"**",IF(ABS(Z22)&gt;1.645,"*","")))</f>
        <v>***</v>
      </c>
    </row>
    <row r="23" spans="2:27" x14ac:dyDescent="0.25">
      <c r="C23" t="s">
        <v>139</v>
      </c>
      <c r="G23" s="2"/>
      <c r="H23" s="30">
        <v>8.3150235075052823</v>
      </c>
      <c r="I23" s="30">
        <v>3.4223566325918298</v>
      </c>
      <c r="J23" s="30">
        <v>2.4296192361484321</v>
      </c>
      <c r="K23" s="2"/>
      <c r="O23" s="2" t="str">
        <f t="shared" si="4"/>
        <v/>
      </c>
      <c r="P23" s="30">
        <v>3.9035766651830723</v>
      </c>
      <c r="Q23" s="30">
        <v>0.88395312043544139</v>
      </c>
      <c r="R23" s="30">
        <v>4.4160448952995868</v>
      </c>
      <c r="S23" s="2"/>
      <c r="W23" s="2"/>
      <c r="X23" s="30">
        <v>0.50066619837248494</v>
      </c>
      <c r="Y23" s="30">
        <v>3.1590203513880193E-2</v>
      </c>
      <c r="Z23" s="30">
        <v>0.79243902014195788</v>
      </c>
      <c r="AA23" s="2"/>
    </row>
    <row r="24" spans="2:27" x14ac:dyDescent="0.25">
      <c r="B24" t="s">
        <v>67</v>
      </c>
      <c r="C24" t="s">
        <v>140</v>
      </c>
      <c r="G24" s="2"/>
      <c r="H24" s="30">
        <v>-6.3773929608865743</v>
      </c>
      <c r="I24" s="30">
        <v>2.4739267078428102</v>
      </c>
      <c r="J24" s="30">
        <v>-2.5778423187190822</v>
      </c>
      <c r="K24" s="2" t="str">
        <f>IF(ABS(J25)&gt;2.576,"***",IF(ABS(J25)&gt;1.96,"**",IF(ABS(J25)&gt;1.645,"*","")))</f>
        <v>***</v>
      </c>
      <c r="O24" s="2" t="str">
        <f t="shared" si="4"/>
        <v/>
      </c>
      <c r="P24" s="30">
        <v>-3.1679285941057325</v>
      </c>
      <c r="Q24" s="30">
        <v>0.70476152953707294</v>
      </c>
      <c r="R24" s="30">
        <v>-4.4950362091793021</v>
      </c>
      <c r="S24" s="2" t="str">
        <f>IF(ABS(R24)&gt;2.576,"***",IF(ABS(R24)&gt;1.96,"**",IF(ABS(R24)&gt;1.645,"*","")))</f>
        <v>***</v>
      </c>
      <c r="W24" s="2" t="str">
        <f>IF(ABS(V24)&gt;2.576,"***",IF(ABS(V24)&gt;1.96,"**",IF(ABS(V24)&gt;1.645,"*","")))</f>
        <v/>
      </c>
      <c r="X24" s="30">
        <v>-1.9133722828633879</v>
      </c>
      <c r="Y24" s="30">
        <v>2.767786414415823E-2</v>
      </c>
      <c r="Z24" s="30">
        <v>-3.456502772211254</v>
      </c>
      <c r="AA24" s="2" t="str">
        <f>IF(ABS(Z24)&gt;2.576,"***",IF(ABS(Z24)&gt;1.96,"**",IF(ABS(Z24)&gt;1.645,"*","")))</f>
        <v>***</v>
      </c>
    </row>
    <row r="25" spans="2:27" x14ac:dyDescent="0.25">
      <c r="C25" t="s">
        <v>141</v>
      </c>
      <c r="G25" s="2"/>
      <c r="H25" s="30">
        <v>14.175247542325355</v>
      </c>
      <c r="I25" s="30">
        <v>4.5869433272623397</v>
      </c>
      <c r="J25" s="30">
        <v>3.0903472162115579</v>
      </c>
      <c r="O25" s="2" t="str">
        <f t="shared" si="4"/>
        <v/>
      </c>
      <c r="P25" s="30">
        <v>5.9096465714539104</v>
      </c>
      <c r="Q25" s="30">
        <v>0.9210794880861396</v>
      </c>
      <c r="R25" s="30">
        <v>6.4160006252372854</v>
      </c>
      <c r="X25" s="30">
        <v>5.32769235123145</v>
      </c>
      <c r="Y25" s="30">
        <v>5.3566322285973127E-2</v>
      </c>
      <c r="Z25" s="30">
        <v>4.9729868729727587</v>
      </c>
    </row>
    <row r="26" spans="2:27" x14ac:dyDescent="0.25">
      <c r="B26" t="s">
        <v>70</v>
      </c>
      <c r="C26" t="s">
        <v>71</v>
      </c>
      <c r="G26" s="2"/>
      <c r="H26" s="30">
        <v>14.682301100394291</v>
      </c>
      <c r="I26" s="30">
        <v>3.0066431805943941</v>
      </c>
      <c r="J26" s="30">
        <v>4.8832868479896234</v>
      </c>
      <c r="O26" s="2" t="str">
        <f t="shared" si="4"/>
        <v/>
      </c>
      <c r="P26" s="30">
        <v>22.51936532726786</v>
      </c>
      <c r="Q26" s="30">
        <v>3.0680410963675198</v>
      </c>
      <c r="R26" s="30">
        <v>7.3399816429871789</v>
      </c>
      <c r="X26" s="30">
        <v>13.44217654746898</v>
      </c>
      <c r="Y26" s="30">
        <v>7.8323669087777284E-2</v>
      </c>
      <c r="Z26" s="30">
        <v>8.5811713777123622</v>
      </c>
    </row>
    <row r="27" spans="2:27" x14ac:dyDescent="0.25">
      <c r="B27" t="s">
        <v>72</v>
      </c>
      <c r="C27" t="s">
        <v>73</v>
      </c>
      <c r="G27" s="2"/>
      <c r="H27" s="30">
        <v>16.147040700805871</v>
      </c>
      <c r="I27" s="30">
        <v>3.1214628122285641</v>
      </c>
      <c r="J27" s="30">
        <v>5.1729082395435348</v>
      </c>
      <c r="K27" s="2" t="str">
        <f>IF(ABS(J27)&gt;2.576,"***",IF(ABS(J27)&gt;1.96,"**",IF(ABS(J27)&gt;1.645,"*","")))</f>
        <v>***</v>
      </c>
      <c r="O27" s="2" t="str">
        <f t="shared" si="4"/>
        <v/>
      </c>
      <c r="P27" s="30">
        <v>18.132740512167935</v>
      </c>
      <c r="Q27" s="30">
        <v>2.5353920964422598</v>
      </c>
      <c r="R27" s="30">
        <v>7.1518486381701472</v>
      </c>
      <c r="S27" s="2" t="str">
        <f>IF(ABS(R27)&gt;2.576,"***",IF(ABS(R27)&gt;1.96,"**",IF(ABS(R27)&gt;1.645,"*","")))</f>
        <v>***</v>
      </c>
      <c r="W27" s="2" t="str">
        <f>IF(ABS(V27)&gt;2.576,"***",IF(ABS(V27)&gt;1.96,"**",IF(ABS(V27)&gt;1.645,"*","")))</f>
        <v/>
      </c>
      <c r="X27" s="30">
        <v>15.013138693351459</v>
      </c>
      <c r="Y27" s="30">
        <v>8.794845941434784E-2</v>
      </c>
      <c r="Z27" s="30">
        <v>8.5351914026263369</v>
      </c>
      <c r="AA27" s="2" t="str">
        <f>IF(ABS(Z27)&gt;2.576,"***",IF(ABS(Z27)&gt;1.96,"**",IF(ABS(Z27)&gt;1.645,"*","")))</f>
        <v>***</v>
      </c>
    </row>
    <row r="28" spans="2:27" x14ac:dyDescent="0.25">
      <c r="B28" t="s">
        <v>93</v>
      </c>
      <c r="C28" t="s">
        <v>142</v>
      </c>
      <c r="G28" s="2"/>
      <c r="H28" s="30">
        <v>-50.744673136995644</v>
      </c>
      <c r="I28" s="30">
        <v>21.916924435394961</v>
      </c>
      <c r="J28" s="30">
        <v>-2.3153190716415031</v>
      </c>
      <c r="K28" s="2" t="str">
        <f>IF(ABS(J28)&gt;2.576,"***",IF(ABS(J28)&gt;1.96,"**",IF(ABS(J28)&gt;1.645,"*","")))</f>
        <v>**</v>
      </c>
      <c r="O28" s="2" t="str">
        <f t="shared" si="4"/>
        <v/>
      </c>
      <c r="P28" s="30">
        <v>-12.310808092614906</v>
      </c>
      <c r="Q28" s="30">
        <v>2.5493067586676261</v>
      </c>
      <c r="R28" s="30">
        <v>-4.8290807101806159</v>
      </c>
      <c r="S28" s="2" t="str">
        <f>IF(ABS(R28)&gt;2.576,"***",IF(ABS(R28)&gt;1.96,"**",IF(ABS(R28)&gt;1.645,"*","")))</f>
        <v>***</v>
      </c>
      <c r="W28" s="2" t="str">
        <f>IF(ABS(V28)&gt;2.576,"***",IF(ABS(V28)&gt;1.96,"**",IF(ABS(V28)&gt;1.645,"*","")))</f>
        <v/>
      </c>
      <c r="X28" s="30">
        <v>0.35194298363341542</v>
      </c>
      <c r="Y28" s="30">
        <v>7.8962386771343956E-2</v>
      </c>
      <c r="Z28" s="30">
        <v>0.22285482875065399</v>
      </c>
      <c r="AA28" s="2" t="str">
        <f>IF(ABS(Z28)&gt;2.576,"***",IF(ABS(Z28)&gt;1.96,"**",IF(ABS(Z28)&gt;1.645,"*","")))</f>
        <v/>
      </c>
    </row>
    <row r="29" spans="2:27" x14ac:dyDescent="0.25">
      <c r="B29" t="s">
        <v>94</v>
      </c>
      <c r="C29" t="s">
        <v>143</v>
      </c>
      <c r="G29" s="2"/>
      <c r="H29" s="30">
        <v>-48.734760154917758</v>
      </c>
      <c r="I29" s="30">
        <v>20.31964008469858</v>
      </c>
      <c r="J29" s="30">
        <v>-2.398406662311741</v>
      </c>
      <c r="K29" s="2" t="str">
        <f>IF(ABS(J29)&gt;2.576,"***",IF(ABS(J29)&gt;1.96,"**",IF(ABS(J29)&gt;1.645,"*","")))</f>
        <v>**</v>
      </c>
      <c r="O29" s="2" t="str">
        <f t="shared" si="4"/>
        <v/>
      </c>
      <c r="P29" s="30">
        <v>-7.7436140199275201</v>
      </c>
      <c r="Q29" s="30">
        <v>1.8533777683931558</v>
      </c>
      <c r="R29" s="30">
        <v>-4.1781088302581137</v>
      </c>
      <c r="S29" s="2" t="str">
        <f>IF(ABS(R29)&gt;2.576,"***",IF(ABS(R29)&gt;1.96,"**",IF(ABS(R29)&gt;1.645,"*","")))</f>
        <v>***</v>
      </c>
      <c r="W29" s="2" t="str">
        <f>IF(ABS(V29)&gt;2.576,"***",IF(ABS(V29)&gt;1.96,"**",IF(ABS(V29)&gt;1.645,"*","")))</f>
        <v/>
      </c>
      <c r="X29" s="30">
        <v>4.8849378714213678</v>
      </c>
      <c r="Y29" s="30">
        <v>7.0340770407355327E-2</v>
      </c>
      <c r="Z29" s="30">
        <v>3.4723374816140522</v>
      </c>
      <c r="AA29" s="2" t="str">
        <f>IF(ABS(Z29)&gt;2.576,"***",IF(ABS(Z29)&gt;1.96,"**",IF(ABS(Z29)&gt;1.645,"*","")))</f>
        <v>***</v>
      </c>
    </row>
    <row r="30" spans="2:27" x14ac:dyDescent="0.25">
      <c r="B30" t="s">
        <v>95</v>
      </c>
      <c r="C30" t="s">
        <v>144</v>
      </c>
      <c r="G30" s="2"/>
      <c r="H30" s="30">
        <v>2.009912982077886</v>
      </c>
      <c r="I30" s="30">
        <v>5.1818194754287807</v>
      </c>
      <c r="J30" s="30">
        <v>0.38787784707833201</v>
      </c>
      <c r="K30" s="2"/>
      <c r="O30" s="2" t="str">
        <f t="shared" si="4"/>
        <v/>
      </c>
      <c r="P30" s="30">
        <v>4.5671940726873856</v>
      </c>
      <c r="Q30" s="30">
        <v>1.4642257459812202</v>
      </c>
      <c r="R30" s="30">
        <v>3.1191871097900798</v>
      </c>
      <c r="S30" s="2" t="str">
        <f>IF(ABS(R30)&gt;2.576,"***",IF(ABS(R30)&gt;1.96,"**",IF(ABS(R30)&gt;1.645,"*","")))</f>
        <v>***</v>
      </c>
      <c r="W30" s="2" t="str">
        <f>IF(ABS(V30)&gt;2.576,"***",IF(ABS(V30)&gt;1.96,"**",IF(ABS(V30)&gt;1.645,"*","")))</f>
        <v/>
      </c>
      <c r="X30" s="30">
        <v>4.5329948877879538</v>
      </c>
      <c r="Y30" s="30">
        <v>3.9440303825447443E-2</v>
      </c>
      <c r="Z30" s="30">
        <v>5.7466531037004867</v>
      </c>
      <c r="AA30" s="2" t="str">
        <f>IF(ABS(Z30)&gt;2.576,"***",IF(ABS(Z30)&gt;1.96,"**",IF(ABS(Z30)&gt;1.645,"*","")))</f>
        <v>***</v>
      </c>
    </row>
    <row r="31" spans="2:27" x14ac:dyDescent="0.25">
      <c r="G31" s="2"/>
      <c r="K31" s="2"/>
      <c r="O31" s="2"/>
      <c r="S31" s="2"/>
      <c r="W31" s="2"/>
      <c r="AA31" s="2"/>
    </row>
    <row r="32" spans="2:27" x14ac:dyDescent="0.25">
      <c r="G32" s="2"/>
      <c r="K32" s="2"/>
      <c r="O32" s="2"/>
      <c r="S32" s="2"/>
      <c r="W32" s="2"/>
      <c r="AA32" s="2"/>
    </row>
    <row r="34" spans="1:27" ht="33" customHeight="1" x14ac:dyDescent="0.25">
      <c r="A34" s="4" t="s">
        <v>145</v>
      </c>
    </row>
    <row r="35" spans="1:27" x14ac:dyDescent="0.25">
      <c r="A35" s="4"/>
      <c r="B35" s="3" t="s">
        <v>26</v>
      </c>
      <c r="C35" t="s">
        <v>75</v>
      </c>
      <c r="G35" s="2"/>
      <c r="H35">
        <v>0.83308082033856778</v>
      </c>
      <c r="I35">
        <v>1.6129244110091894</v>
      </c>
      <c r="J35">
        <v>0.51650332442877345</v>
      </c>
      <c r="K35" s="2" t="str">
        <f t="shared" ref="K35:K40" si="5">IF(ABS(J35)&gt;2.576,"***",IF(ABS(J35)&gt;1.96,"**",IF(ABS(J35)&gt;1.645,"*","")))</f>
        <v/>
      </c>
      <c r="L35" s="47" t="s">
        <v>257</v>
      </c>
      <c r="O35" s="2" t="str">
        <f t="shared" ref="O35:O40" si="6">IF(ABS(N35)&gt;2.576,"***",IF(ABS(N35)&gt;1.96,"**",IF(ABS(N35)&gt;1.645,"*","")))</f>
        <v/>
      </c>
      <c r="P35" s="31">
        <v>-13.339344799723969</v>
      </c>
      <c r="Q35" s="30">
        <v>1.4535026517845697</v>
      </c>
      <c r="R35" s="30">
        <v>-9.1773790597122726</v>
      </c>
      <c r="S35" s="2" t="str">
        <f t="shared" ref="S35:S40" si="7">IF(ABS(R35)&gt;2.576,"***",IF(ABS(R35)&gt;1.96,"**",IF(ABS(R35)&gt;1.645,"*","")))</f>
        <v>***</v>
      </c>
      <c r="W35" s="2" t="str">
        <f t="shared" ref="W35:W40" si="8">IF(ABS(V35)&gt;2.576,"***",IF(ABS(V35)&gt;1.96,"**",IF(ABS(V35)&gt;1.645,"*","")))</f>
        <v/>
      </c>
      <c r="X35" s="4" t="s">
        <v>256</v>
      </c>
      <c r="AA35" s="2"/>
    </row>
    <row r="36" spans="1:27" x14ac:dyDescent="0.25">
      <c r="A36" s="4"/>
      <c r="C36" t="s">
        <v>76</v>
      </c>
      <c r="G36" s="2" t="str">
        <f t="shared" ref="G36:G40" si="9">IF(ABS(F36)&gt;2.576,"***",IF(ABS(F36)&gt;1.96,"**",IF(ABS(F36)&gt;1.645,"*","")))</f>
        <v/>
      </c>
      <c r="H36" s="30">
        <v>-24.8673985489675</v>
      </c>
      <c r="I36" s="30">
        <v>3.6232339886338583</v>
      </c>
      <c r="J36" s="30">
        <v>-6.8633156530814494</v>
      </c>
      <c r="K36" s="2" t="str">
        <f t="shared" si="5"/>
        <v>***</v>
      </c>
      <c r="O36" s="2" t="str">
        <f t="shared" si="6"/>
        <v/>
      </c>
      <c r="P36" s="30">
        <v>12.73589438439333</v>
      </c>
      <c r="Q36" s="30">
        <v>1.5146492406555501</v>
      </c>
      <c r="R36" s="30">
        <v>8.4084777138772751</v>
      </c>
      <c r="S36" s="2" t="str">
        <f t="shared" si="7"/>
        <v>***</v>
      </c>
      <c r="W36" s="2" t="str">
        <f t="shared" si="8"/>
        <v/>
      </c>
      <c r="AA36" s="2"/>
    </row>
    <row r="37" spans="1:27" x14ac:dyDescent="0.25">
      <c r="A37" s="4"/>
      <c r="B37" s="3" t="s">
        <v>31</v>
      </c>
      <c r="C37" t="s">
        <v>77</v>
      </c>
      <c r="G37" s="2" t="str">
        <f t="shared" si="9"/>
        <v/>
      </c>
      <c r="H37" s="30">
        <v>1.2304539021744489</v>
      </c>
      <c r="I37" s="30">
        <v>1.5166729979695495</v>
      </c>
      <c r="J37" s="30">
        <v>0.81128490045100199</v>
      </c>
      <c r="K37" s="2" t="str">
        <f t="shared" si="5"/>
        <v/>
      </c>
      <c r="O37" s="2" t="str">
        <f t="shared" si="6"/>
        <v/>
      </c>
      <c r="P37" s="30">
        <v>-21.480418254479421</v>
      </c>
      <c r="Q37" s="30">
        <v>2.3760614097694162</v>
      </c>
      <c r="R37" s="30">
        <v>-9.0403464178831925</v>
      </c>
      <c r="S37" s="2" t="str">
        <f t="shared" si="7"/>
        <v>***</v>
      </c>
      <c r="W37" s="2" t="str">
        <f t="shared" si="8"/>
        <v/>
      </c>
      <c r="AA37" s="2"/>
    </row>
    <row r="38" spans="1:27" x14ac:dyDescent="0.25">
      <c r="A38" s="4"/>
      <c r="C38" t="s">
        <v>78</v>
      </c>
      <c r="G38" s="2" t="str">
        <f t="shared" si="9"/>
        <v/>
      </c>
      <c r="H38" s="30">
        <v>33.898194734200558</v>
      </c>
      <c r="I38" s="30">
        <v>4.73112591051646</v>
      </c>
      <c r="J38" s="30">
        <v>7.1649318524478156</v>
      </c>
      <c r="K38" s="2" t="str">
        <f t="shared" si="5"/>
        <v>***</v>
      </c>
      <c r="O38" s="2" t="str">
        <f t="shared" si="6"/>
        <v/>
      </c>
      <c r="P38" s="30">
        <v>-14.176038182297546</v>
      </c>
      <c r="Q38" s="30">
        <v>1.6435035679948797</v>
      </c>
      <c r="R38" s="30">
        <v>-8.625498878346038</v>
      </c>
      <c r="S38" s="2" t="str">
        <f t="shared" si="7"/>
        <v>***</v>
      </c>
      <c r="W38" s="2" t="str">
        <f t="shared" si="8"/>
        <v/>
      </c>
      <c r="AA38" s="2"/>
    </row>
    <row r="39" spans="1:27" x14ac:dyDescent="0.25">
      <c r="A39" s="4"/>
      <c r="B39" s="3" t="s">
        <v>36</v>
      </c>
      <c r="C39" t="s">
        <v>79</v>
      </c>
      <c r="G39" s="2" t="str">
        <f t="shared" si="9"/>
        <v/>
      </c>
      <c r="H39" s="30">
        <v>-60.989928811864324</v>
      </c>
      <c r="I39" s="30">
        <v>7.9657855121370558</v>
      </c>
      <c r="J39" s="30">
        <v>-7.6564864468089331</v>
      </c>
      <c r="K39" s="2" t="str">
        <f t="shared" si="5"/>
        <v>***</v>
      </c>
      <c r="O39" s="2" t="str">
        <f t="shared" si="6"/>
        <v/>
      </c>
      <c r="P39" s="30">
        <v>-31.659407532459479</v>
      </c>
      <c r="Q39" s="30">
        <v>3.4535417264536279</v>
      </c>
      <c r="R39" s="30">
        <v>-9.167228902999204</v>
      </c>
      <c r="S39" s="2" t="str">
        <f t="shared" si="7"/>
        <v>***</v>
      </c>
      <c r="W39" s="2" t="str">
        <f t="shared" si="8"/>
        <v/>
      </c>
      <c r="AA39" s="2"/>
    </row>
    <row r="40" spans="1:27" x14ac:dyDescent="0.25">
      <c r="A40" s="4"/>
      <c r="C40" t="s">
        <v>80</v>
      </c>
      <c r="G40" s="2" t="str">
        <f t="shared" si="9"/>
        <v/>
      </c>
      <c r="H40" s="30">
        <v>-43.203512425157243</v>
      </c>
      <c r="I40" s="30">
        <v>5.8243793434284274</v>
      </c>
      <c r="J40" s="30">
        <v>-7.4177023640987949</v>
      </c>
      <c r="K40" s="2" t="str">
        <f t="shared" si="5"/>
        <v>***</v>
      </c>
      <c r="O40" s="2" t="str">
        <f t="shared" si="6"/>
        <v/>
      </c>
      <c r="P40" s="30">
        <v>-17.482251810277965</v>
      </c>
      <c r="Q40" s="30">
        <v>2.1161973711943958</v>
      </c>
      <c r="R40" s="30">
        <v>-8.261163182719045</v>
      </c>
      <c r="S40" s="2" t="str">
        <f t="shared" si="7"/>
        <v>***</v>
      </c>
      <c r="W40" s="2" t="str">
        <f t="shared" si="8"/>
        <v/>
      </c>
      <c r="AA40" s="2"/>
    </row>
    <row r="41" spans="1:27" x14ac:dyDescent="0.25">
      <c r="A41" s="4"/>
      <c r="C41" t="s">
        <v>81</v>
      </c>
      <c r="G41" s="2"/>
      <c r="H41" s="30">
        <v>22.350137122675783</v>
      </c>
      <c r="I41" s="30">
        <v>3.1494130966961995</v>
      </c>
      <c r="J41" s="30">
        <v>7.0966038548964994</v>
      </c>
      <c r="K41" s="2"/>
      <c r="O41" s="2"/>
      <c r="P41" s="30">
        <v>32.24313476153236</v>
      </c>
      <c r="Q41" s="30">
        <v>2.966151885364944</v>
      </c>
      <c r="R41" s="30">
        <v>10.8703586355846</v>
      </c>
      <c r="S41" s="2"/>
      <c r="W41" s="2"/>
      <c r="AA41" s="2"/>
    </row>
    <row r="42" spans="1:27" x14ac:dyDescent="0.25">
      <c r="A42" s="4"/>
      <c r="C42" t="s">
        <v>82</v>
      </c>
      <c r="G42" s="2"/>
      <c r="H42" s="30">
        <v>-16.222483664235074</v>
      </c>
      <c r="I42" s="30">
        <v>1.4441123805930391</v>
      </c>
      <c r="J42" s="30">
        <v>-11.233532709949589</v>
      </c>
      <c r="K42" s="2"/>
      <c r="O42" s="2"/>
      <c r="P42" s="30">
        <v>-20.39073613928538</v>
      </c>
      <c r="Q42" s="30">
        <v>2.0525212043224119</v>
      </c>
      <c r="R42" s="30">
        <v>-9.9344825750615637</v>
      </c>
      <c r="S42" s="2"/>
      <c r="W42" s="2"/>
      <c r="AA42" s="2"/>
    </row>
    <row r="43" spans="1:27" x14ac:dyDescent="0.25">
      <c r="B43" t="s">
        <v>46</v>
      </c>
      <c r="C43" t="s">
        <v>83</v>
      </c>
      <c r="G43" s="2" t="str">
        <f>IF(ABS(F43)&gt;2.576,"***",IF(ABS(F43)&gt;1.96,"**",IF(ABS(F43)&gt;1.645,"*","")))</f>
        <v/>
      </c>
      <c r="H43" s="30">
        <v>5.5552796299940974</v>
      </c>
      <c r="I43" s="30">
        <v>1.1230878736886019</v>
      </c>
      <c r="J43" s="30">
        <v>4.9464336319015496</v>
      </c>
      <c r="K43" s="2" t="str">
        <f>IF(ABS(J43)&gt;2.576,"***",IF(ABS(J43)&gt;1.96,"**",IF(ABS(J43)&gt;1.645,"*","")))</f>
        <v>***</v>
      </c>
      <c r="O43" s="2" t="str">
        <f>IF(ABS(N43)&gt;2.576,"***",IF(ABS(N43)&gt;1.96,"**",IF(ABS(N43)&gt;1.645,"*","")))</f>
        <v/>
      </c>
      <c r="P43" s="30">
        <v>1.3127178133557151</v>
      </c>
      <c r="Q43" s="30">
        <v>0.50670909083277804</v>
      </c>
      <c r="R43" s="30">
        <v>2.5906734990648359</v>
      </c>
      <c r="S43" s="2" t="str">
        <f>IF(ABS(R43)&gt;2.576,"***",IF(ABS(R43)&gt;1.96,"**",IF(ABS(R43)&gt;1.645,"*","")))</f>
        <v>***</v>
      </c>
      <c r="W43" s="2" t="str">
        <f>IF(ABS(V43)&gt;2.576,"***",IF(ABS(V43)&gt;1.96,"**",IF(ABS(V43)&gt;1.645,"*","")))</f>
        <v/>
      </c>
      <c r="X43" s="2"/>
      <c r="Y43" s="2"/>
      <c r="Z43" s="2"/>
      <c r="AA43" s="2"/>
    </row>
    <row r="44" spans="1:27" x14ac:dyDescent="0.25">
      <c r="C44" t="s">
        <v>84</v>
      </c>
      <c r="G44" s="2"/>
      <c r="H44" s="30">
        <v>-1.8785253263600119</v>
      </c>
      <c r="I44" s="30">
        <v>1.2269358207082424</v>
      </c>
      <c r="J44" s="30">
        <v>-1.5310705699957829</v>
      </c>
      <c r="K44" s="2"/>
      <c r="O44" s="2"/>
      <c r="P44" s="30">
        <v>-2.1604820758066041</v>
      </c>
      <c r="Q44" s="30">
        <v>0.78188226985856246</v>
      </c>
      <c r="R44" s="30">
        <v>-2.763180799837579</v>
      </c>
      <c r="S44" s="2"/>
      <c r="W44" s="2"/>
      <c r="X44" s="2"/>
      <c r="Y44" s="2"/>
      <c r="Z44" s="2"/>
      <c r="AA44" s="2"/>
    </row>
    <row r="45" spans="1:27" x14ac:dyDescent="0.25">
      <c r="B45" t="s">
        <v>51</v>
      </c>
      <c r="C45" t="s">
        <v>85</v>
      </c>
      <c r="G45" s="2" t="str">
        <f>IF(ABS(F45)&gt;2.576,"***",IF(ABS(F45)&gt;1.96,"**",IF(ABS(F45)&gt;1.645,"*","")))</f>
        <v/>
      </c>
      <c r="H45" s="30">
        <v>8.154986734508169</v>
      </c>
      <c r="I45" s="30">
        <v>1.2916567788165876</v>
      </c>
      <c r="J45" s="30">
        <v>6.3135864482356876</v>
      </c>
      <c r="K45" s="2" t="str">
        <f>IF(ABS(J45)&gt;2.576,"***",IF(ABS(J45)&gt;1.96,"**",IF(ABS(J45)&gt;1.645,"*","")))</f>
        <v>***</v>
      </c>
      <c r="O45" s="2" t="str">
        <f>IF(ABS(N45)&gt;2.576,"***",IF(ABS(N45)&gt;1.96,"**",IF(ABS(N45)&gt;1.645,"*","")))</f>
        <v/>
      </c>
      <c r="P45" s="30">
        <v>6.4623897400410399</v>
      </c>
      <c r="Q45" s="30">
        <v>0.86022777647593196</v>
      </c>
      <c r="R45" s="30">
        <v>7.5124169629993904</v>
      </c>
      <c r="S45" s="2" t="str">
        <f>IF(ABS(R45)&gt;2.576,"***",IF(ABS(R45)&gt;1.96,"**",IF(ABS(R45)&gt;1.645,"*","")))</f>
        <v>***</v>
      </c>
      <c r="W45" s="2" t="str">
        <f>IF(ABS(V45)&gt;2.576,"***",IF(ABS(V45)&gt;1.96,"**",IF(ABS(V45)&gt;1.645,"*","")))</f>
        <v/>
      </c>
      <c r="X45" s="2"/>
      <c r="Y45" s="2"/>
      <c r="Z45" s="2"/>
      <c r="AA45" s="2"/>
    </row>
    <row r="46" spans="1:27" x14ac:dyDescent="0.25">
      <c r="C46" t="s">
        <v>86</v>
      </c>
      <c r="G46" s="2"/>
      <c r="H46" s="30">
        <v>4.6460617778099875</v>
      </c>
      <c r="I46" s="30">
        <v>0.75033765287486387</v>
      </c>
      <c r="J46" s="30">
        <v>6.1919613923264309</v>
      </c>
      <c r="K46" s="2"/>
      <c r="O46" s="2"/>
      <c r="P46" s="30">
        <v>-2.925641714668326</v>
      </c>
      <c r="Q46" s="30">
        <v>0.42300292353982616</v>
      </c>
      <c r="R46" s="30">
        <v>-6.9163628709362177</v>
      </c>
      <c r="S46" s="2"/>
      <c r="W46" s="2"/>
      <c r="X46" s="2"/>
      <c r="Y46" s="2"/>
      <c r="Z46" s="2"/>
      <c r="AA46" s="2"/>
    </row>
    <row r="47" spans="1:27" x14ac:dyDescent="0.25">
      <c r="B47" t="s">
        <v>55</v>
      </c>
      <c r="C47" t="s">
        <v>87</v>
      </c>
      <c r="G47" s="2" t="str">
        <f>IF(ABS(F47)&gt;2.576,"***",IF(ABS(F47)&gt;1.96,"**",IF(ABS(F47)&gt;1.645,"*","")))</f>
        <v/>
      </c>
      <c r="H47" s="30">
        <v>5.8724799888516497</v>
      </c>
      <c r="I47" s="30">
        <v>1.1422557680690613</v>
      </c>
      <c r="J47" s="30">
        <v>5.1411252654725894</v>
      </c>
      <c r="K47" s="2" t="str">
        <f>IF(ABS(J47)&gt;2.576,"***",IF(ABS(J47)&gt;1.96,"**",IF(ABS(J47)&gt;1.645,"*","")))</f>
        <v>***</v>
      </c>
      <c r="O47" s="2" t="str">
        <f>IF(ABS(N47)&gt;2.576,"***",IF(ABS(N47)&gt;1.96,"**",IF(ABS(N47)&gt;1.645,"*","")))</f>
        <v/>
      </c>
      <c r="P47" s="30">
        <v>3.6036642448692255</v>
      </c>
      <c r="Q47" s="30">
        <v>0.57617693284889504</v>
      </c>
      <c r="R47" s="30">
        <v>6.2544403279926231</v>
      </c>
      <c r="S47" s="2" t="str">
        <f>IF(ABS(R47)&gt;2.576,"***",IF(ABS(R47)&gt;1.96,"**",IF(ABS(R47)&gt;1.645,"*","")))</f>
        <v>***</v>
      </c>
      <c r="W47" s="2" t="str">
        <f>IF(ABS(V47)&gt;2.576,"***",IF(ABS(V47)&gt;1.96,"**",IF(ABS(V47)&gt;1.645,"*","")))</f>
        <v/>
      </c>
      <c r="X47" s="2"/>
      <c r="Y47" s="2"/>
      <c r="Z47" s="2"/>
      <c r="AA47" s="2"/>
    </row>
    <row r="48" spans="1:27" x14ac:dyDescent="0.25">
      <c r="C48" t="s">
        <v>88</v>
      </c>
      <c r="G48" s="2"/>
      <c r="H48" s="30">
        <v>-1.5912346229324741</v>
      </c>
      <c r="I48" s="30">
        <v>1.4610543474309741</v>
      </c>
      <c r="J48" s="30">
        <v>-1.0891002280171169</v>
      </c>
      <c r="K48" s="2"/>
      <c r="O48" s="2"/>
      <c r="P48" s="30">
        <v>-1.9159143212115402</v>
      </c>
      <c r="Q48" s="30">
        <v>0.84837376694346012</v>
      </c>
      <c r="R48" s="30">
        <v>-2.2583375345447552</v>
      </c>
      <c r="S48" s="2"/>
      <c r="W48" s="2"/>
      <c r="X48" s="2"/>
      <c r="Y48" s="2"/>
      <c r="Z48" s="2"/>
      <c r="AA48" s="2"/>
    </row>
    <row r="49" spans="1:27" x14ac:dyDescent="0.25">
      <c r="B49" t="s">
        <v>58</v>
      </c>
      <c r="C49" t="s">
        <v>89</v>
      </c>
      <c r="G49" s="2" t="str">
        <f>IF(ABS(F49)&gt;2.576,"***",IF(ABS(F49)&gt;1.96,"**",IF(ABS(F49)&gt;1.645,"*","")))</f>
        <v/>
      </c>
      <c r="H49" s="30">
        <v>4.2461601262470801</v>
      </c>
      <c r="I49" s="30">
        <v>0.8478020699106632</v>
      </c>
      <c r="J49" s="30">
        <v>5.008433308843558</v>
      </c>
      <c r="K49" s="2" t="str">
        <f>IF(ABS(J49)&gt;2.576,"***",IF(ABS(J49)&gt;1.96,"**",IF(ABS(J49)&gt;1.645,"*","")))</f>
        <v>***</v>
      </c>
      <c r="O49" s="2" t="str">
        <f>IF(ABS(N49)&gt;2.576,"***",IF(ABS(N49)&gt;1.96,"**",IF(ABS(N49)&gt;1.645,"*","")))</f>
        <v/>
      </c>
      <c r="P49" s="30">
        <v>2.5889936325155838</v>
      </c>
      <c r="Q49" s="30">
        <v>0.47712788766599079</v>
      </c>
      <c r="R49" s="30">
        <v>5.4262047963291282</v>
      </c>
      <c r="S49" s="2" t="str">
        <f>IF(ABS(R49)&gt;2.576,"***",IF(ABS(R49)&gt;1.96,"**",IF(ABS(R49)&gt;1.645,"*","")))</f>
        <v>***</v>
      </c>
      <c r="W49" s="2" t="str">
        <f>IF(ABS(V49)&gt;2.576,"***",IF(ABS(V49)&gt;1.96,"**",IF(ABS(V49)&gt;1.645,"*","")))</f>
        <v/>
      </c>
      <c r="X49" s="2"/>
      <c r="Y49" s="2"/>
      <c r="Z49" s="2"/>
      <c r="AA49" s="2"/>
    </row>
    <row r="50" spans="1:27" x14ac:dyDescent="0.25">
      <c r="C50" t="s">
        <v>90</v>
      </c>
      <c r="G50" s="2"/>
      <c r="H50" s="30">
        <v>-2.9377992783735478</v>
      </c>
      <c r="I50" s="30">
        <v>0.77886910110753038</v>
      </c>
      <c r="J50" s="30">
        <v>-3.7718780655132909</v>
      </c>
      <c r="K50" s="2"/>
      <c r="O50" s="2"/>
      <c r="P50" s="30">
        <v>2.8298618432124281</v>
      </c>
      <c r="Q50" s="30">
        <v>0.65343303553374799</v>
      </c>
      <c r="R50" s="30">
        <v>4.3307602911458138</v>
      </c>
      <c r="S50" s="2"/>
      <c r="W50" s="2"/>
      <c r="X50" s="2"/>
      <c r="Y50" s="2"/>
      <c r="Z50" s="2"/>
      <c r="AA50" s="2"/>
    </row>
    <row r="51" spans="1:27" x14ac:dyDescent="0.25">
      <c r="B51" t="s">
        <v>61</v>
      </c>
      <c r="C51" t="s">
        <v>91</v>
      </c>
      <c r="G51" s="2" t="str">
        <f>IF(ABS(F51)&gt;2.576,"***",IF(ABS(F51)&gt;1.96,"**",IF(ABS(F51)&gt;1.645,"*","")))</f>
        <v/>
      </c>
      <c r="H51" s="30">
        <v>0.96841075339500748</v>
      </c>
      <c r="I51" s="30">
        <v>0.66039827304299847</v>
      </c>
      <c r="J51" s="30">
        <v>1.466404127516479</v>
      </c>
      <c r="K51" s="2" t="str">
        <f>IF(ABS(J51)&gt;2.576,"***",IF(ABS(J51)&gt;1.96,"**",IF(ABS(J51)&gt;1.645,"*","")))</f>
        <v/>
      </c>
      <c r="O51" s="2" t="str">
        <f>IF(ABS(N51)&gt;2.576,"***",IF(ABS(N51)&gt;1.96,"**",IF(ABS(N51)&gt;1.645,"*","")))</f>
        <v/>
      </c>
      <c r="P51" s="30">
        <v>-8.2620644853785615E-3</v>
      </c>
      <c r="Q51" s="30">
        <v>0.45009977799167078</v>
      </c>
      <c r="R51" s="30">
        <v>-1.835607322945948E-2</v>
      </c>
      <c r="S51" s="2" t="str">
        <f>IF(ABS(R51)&gt;2.576,"***",IF(ABS(R51)&gt;1.96,"**",IF(ABS(R51)&gt;1.645,"*","")))</f>
        <v/>
      </c>
      <c r="W51" s="2" t="str">
        <f>IF(ABS(V51)&gt;2.576,"***",IF(ABS(V51)&gt;1.96,"**",IF(ABS(V51)&gt;1.645,"*","")))</f>
        <v/>
      </c>
      <c r="X51" s="2"/>
      <c r="Y51" s="2"/>
      <c r="Z51" s="2"/>
      <c r="AA51" s="2"/>
    </row>
    <row r="52" spans="1:27" x14ac:dyDescent="0.25">
      <c r="C52" t="s">
        <v>92</v>
      </c>
      <c r="G52" s="2"/>
      <c r="H52" s="30">
        <v>1.2774158747576752</v>
      </c>
      <c r="I52" s="30">
        <v>0.69355746619626857</v>
      </c>
      <c r="J52" s="30">
        <v>1.841831336289272</v>
      </c>
      <c r="K52" s="2"/>
      <c r="O52" s="2"/>
      <c r="P52" s="30">
        <v>-4.6791929317409098</v>
      </c>
      <c r="Q52" s="30">
        <v>0.58955575442218899</v>
      </c>
      <c r="R52" s="30">
        <v>-7.936811568105016</v>
      </c>
      <c r="S52" s="2"/>
      <c r="W52" s="2"/>
      <c r="X52" s="2"/>
      <c r="Y52" s="2"/>
      <c r="Z52" s="2"/>
      <c r="AA52" s="2"/>
    </row>
    <row r="53" spans="1:27" x14ac:dyDescent="0.25">
      <c r="B53" t="s">
        <v>64</v>
      </c>
      <c r="C53" t="s">
        <v>138</v>
      </c>
      <c r="G53" s="2" t="str">
        <f>IF(ABS(F53)&gt;2.576,"***",IF(ABS(F53)&gt;1.96,"**",IF(ABS(F53)&gt;1.645,"*","")))</f>
        <v/>
      </c>
      <c r="H53" s="30">
        <v>-0.45320692063383161</v>
      </c>
      <c r="I53" s="30">
        <v>0.62890354874239485</v>
      </c>
      <c r="J53" s="30">
        <v>-0.72063024853349933</v>
      </c>
      <c r="K53" s="2" t="str">
        <f>IF(ABS(J53)&gt;2.576,"***",IF(ABS(J53)&gt;1.96,"**",IF(ABS(J53)&gt;1.645,"*","")))</f>
        <v/>
      </c>
      <c r="O53" s="2" t="str">
        <f>IF(ABS(N53)&gt;2.576,"***",IF(ABS(N53)&gt;1.96,"**",IF(ABS(N53)&gt;1.645,"*","")))</f>
        <v/>
      </c>
      <c r="P53" s="30">
        <v>-1.1820179149674039</v>
      </c>
      <c r="Q53" s="30">
        <v>0.41658809266036145</v>
      </c>
      <c r="R53" s="30">
        <v>-2.8373780619099129</v>
      </c>
      <c r="S53" s="2" t="str">
        <f>IF(ABS(R53)&gt;2.576,"***",IF(ABS(R53)&gt;1.96,"**",IF(ABS(R53)&gt;1.645,"*","")))</f>
        <v>***</v>
      </c>
      <c r="W53" s="2" t="str">
        <f>IF(ABS(V53)&gt;2.576,"***",IF(ABS(V53)&gt;1.96,"**",IF(ABS(V53)&gt;1.645,"*","")))</f>
        <v/>
      </c>
      <c r="X53" s="2"/>
      <c r="Y53" s="2"/>
      <c r="Z53" s="2"/>
      <c r="AA53" s="2"/>
    </row>
    <row r="54" spans="1:27" x14ac:dyDescent="0.25">
      <c r="C54" t="s">
        <v>139</v>
      </c>
      <c r="G54" s="2"/>
      <c r="H54" s="30">
        <v>-6.9412249798724401</v>
      </c>
      <c r="I54" s="30">
        <v>1.2322276413367947</v>
      </c>
      <c r="J54" s="30">
        <v>-5.6330703410793319</v>
      </c>
      <c r="K54" s="2"/>
      <c r="O54" s="2"/>
      <c r="P54" s="30">
        <v>-3.6383674386192419</v>
      </c>
      <c r="Q54" s="30">
        <v>0.50663362696033354</v>
      </c>
      <c r="R54" s="30">
        <v>-7.1814566681024976</v>
      </c>
      <c r="S54" s="2"/>
      <c r="W54" s="2"/>
      <c r="X54" s="2"/>
      <c r="Y54" s="2"/>
      <c r="Z54" s="2"/>
      <c r="AA54" s="2"/>
    </row>
    <row r="55" spans="1:27" x14ac:dyDescent="0.25">
      <c r="B55" t="s">
        <v>67</v>
      </c>
      <c r="C55" t="s">
        <v>140</v>
      </c>
      <c r="G55" s="2" t="str">
        <f>IF(ABS(F55)&gt;2.576,"***",IF(ABS(F55)&gt;1.96,"**",IF(ABS(F55)&gt;1.645,"*","")))</f>
        <v/>
      </c>
      <c r="H55" s="30">
        <v>1.033815665580549</v>
      </c>
      <c r="I55" s="30">
        <v>0.64966097297604042</v>
      </c>
      <c r="J55" s="30">
        <v>1.5913156378237241</v>
      </c>
      <c r="K55" s="2" t="str">
        <f>IF(ABS(J55)&gt;2.576,"***",IF(ABS(J55)&gt;1.96,"**",IF(ABS(J55)&gt;1.645,"*","")))</f>
        <v/>
      </c>
      <c r="O55" s="2" t="str">
        <f>IF(ABS(N55)&gt;2.576,"***",IF(ABS(N55)&gt;1.96,"**",IF(ABS(N55)&gt;1.645,"*","")))</f>
        <v/>
      </c>
      <c r="P55" s="30">
        <v>-0.63063984990784305</v>
      </c>
      <c r="Q55" s="30">
        <v>0.39859876919858739</v>
      </c>
      <c r="R55" s="30">
        <v>-1.5821419899910669</v>
      </c>
      <c r="S55" s="2" t="str">
        <f>IF(ABS(R55)&gt;2.576,"***",IF(ABS(R55)&gt;1.96,"**",IF(ABS(R55)&gt;1.645,"*","")))</f>
        <v/>
      </c>
      <c r="W55" s="2" t="str">
        <f>IF(ABS(V55)&gt;2.576,"***",IF(ABS(V55)&gt;1.96,"**",IF(ABS(V55)&gt;1.645,"*","")))</f>
        <v/>
      </c>
      <c r="X55" s="2"/>
      <c r="Y55" s="2"/>
      <c r="Z55" s="2"/>
      <c r="AA55" s="2"/>
    </row>
    <row r="56" spans="1:27" x14ac:dyDescent="0.25">
      <c r="C56" t="s">
        <v>141</v>
      </c>
      <c r="H56" s="30">
        <v>9.950629646492299</v>
      </c>
      <c r="I56" s="30">
        <v>1.4317756151633223</v>
      </c>
      <c r="J56" s="30">
        <v>6.9498527151248002</v>
      </c>
      <c r="P56" s="30">
        <v>3.6164821387740997</v>
      </c>
      <c r="Q56" s="30">
        <v>0.56237729995102004</v>
      </c>
      <c r="R56" s="30">
        <v>6.4307043315743302</v>
      </c>
      <c r="X56" s="2"/>
      <c r="Y56" s="2"/>
      <c r="Z56" s="2"/>
    </row>
    <row r="57" spans="1:27" x14ac:dyDescent="0.25">
      <c r="B57" t="s">
        <v>70</v>
      </c>
      <c r="C57" t="s">
        <v>71</v>
      </c>
      <c r="H57" s="30">
        <v>17.206746718042545</v>
      </c>
      <c r="I57" s="30">
        <v>1.8589469592805108</v>
      </c>
      <c r="J57" s="30">
        <v>9.2561794902971659</v>
      </c>
      <c r="P57" s="30">
        <v>17.357951813264688</v>
      </c>
      <c r="Q57" s="30">
        <v>2.6574430708047956</v>
      </c>
      <c r="R57" s="30">
        <v>6.5318245210829291</v>
      </c>
    </row>
    <row r="58" spans="1:27" x14ac:dyDescent="0.25">
      <c r="B58" t="s">
        <v>72</v>
      </c>
      <c r="C58" t="s">
        <v>73</v>
      </c>
      <c r="G58" s="2" t="str">
        <f>IF(ABS(F58)&gt;2.576,"***",IF(ABS(F58)&gt;1.96,"**",IF(ABS(F58)&gt;1.645,"*","")))</f>
        <v/>
      </c>
      <c r="H58" s="30">
        <v>20.760512776188662</v>
      </c>
      <c r="I58" s="30">
        <v>2.3011317020470399</v>
      </c>
      <c r="J58" s="30">
        <v>9.0218707420007842</v>
      </c>
      <c r="K58" s="2" t="str">
        <f>IF(ABS(J58)&gt;2.576,"***",IF(ABS(J58)&gt;1.96,"**",IF(ABS(J58)&gt;1.645,"*","")))</f>
        <v>***</v>
      </c>
      <c r="O58" s="2" t="str">
        <f>IF(ABS(N58)&gt;2.576,"***",IF(ABS(N58)&gt;1.96,"**",IF(ABS(N58)&gt;1.645,"*","")))</f>
        <v/>
      </c>
      <c r="P58" s="30">
        <v>16.927445730233593</v>
      </c>
      <c r="Q58" s="30">
        <v>2.8007110019809778</v>
      </c>
      <c r="R58" s="30">
        <v>6.0439815883397472</v>
      </c>
      <c r="S58" s="2" t="str">
        <f>IF(ABS(R58)&gt;2.576,"***",IF(ABS(R58)&gt;1.96,"**",IF(ABS(R58)&gt;1.645,"*","")))</f>
        <v>***</v>
      </c>
      <c r="W58" s="2" t="str">
        <f>IF(ABS(V58)&gt;2.576,"***",IF(ABS(V58)&gt;1.96,"**",IF(ABS(V58)&gt;1.645,"*","")))</f>
        <v/>
      </c>
      <c r="AA58" s="2"/>
    </row>
    <row r="59" spans="1:27" x14ac:dyDescent="0.25">
      <c r="B59" t="s">
        <v>93</v>
      </c>
      <c r="C59" t="s">
        <v>142</v>
      </c>
      <c r="G59" s="2" t="str">
        <f>IF(ABS(F59)&gt;2.576,"***",IF(ABS(F59)&gt;1.96,"**",IF(ABS(F59)&gt;1.645,"*","")))</f>
        <v/>
      </c>
      <c r="H59" s="30">
        <v>-61.823009632202883</v>
      </c>
      <c r="I59" s="30">
        <v>14.653803703667068</v>
      </c>
      <c r="J59" s="30">
        <v>-4.218905267356071</v>
      </c>
      <c r="K59" s="2" t="str">
        <f>IF(ABS(J59)&gt;2.576,"***",IF(ABS(J59)&gt;1.96,"**",IF(ABS(J59)&gt;1.645,"*","")))</f>
        <v>***</v>
      </c>
      <c r="O59" s="2" t="str">
        <f>IF(ABS(N59)&gt;2.576,"***",IF(ABS(N59)&gt;1.96,"**",IF(ABS(N59)&gt;1.645,"*","")))</f>
        <v/>
      </c>
      <c r="P59" s="30">
        <v>-18.320062732735508</v>
      </c>
      <c r="Q59" s="30">
        <v>3.1715580603837039</v>
      </c>
      <c r="R59" s="30">
        <v>-5.7763605092315728</v>
      </c>
      <c r="S59" s="2" t="str">
        <f>IF(ABS(R59)&gt;2.576,"***",IF(ABS(R59)&gt;1.96,"**",IF(ABS(R59)&gt;1.645,"*","")))</f>
        <v>***</v>
      </c>
      <c r="W59" s="2" t="str">
        <f>IF(ABS(V59)&gt;2.576,"***",IF(ABS(V59)&gt;1.96,"**",IF(ABS(V59)&gt;1.645,"*","")))</f>
        <v/>
      </c>
      <c r="AA59" s="2"/>
    </row>
    <row r="60" spans="1:27" x14ac:dyDescent="0.25">
      <c r="B60" t="s">
        <v>94</v>
      </c>
      <c r="C60" t="s">
        <v>143</v>
      </c>
      <c r="G60" s="2" t="str">
        <f>IF(ABS(F60)&gt;2.576,"***",IF(ABS(F60)&gt;1.96,"**",IF(ABS(F60)&gt;1.645,"*","")))</f>
        <v/>
      </c>
      <c r="H60" s="30">
        <v>-62.220382714038756</v>
      </c>
      <c r="I60" s="30">
        <v>14.718035128333653</v>
      </c>
      <c r="J60" s="30">
        <v>-4.2274924724332568</v>
      </c>
      <c r="K60" s="2" t="str">
        <f>IF(ABS(J60)&gt;2.576,"***",IF(ABS(J60)&gt;1.96,"**",IF(ABS(J60)&gt;1.645,"*","")))</f>
        <v>***</v>
      </c>
      <c r="O60" s="2" t="str">
        <f>IF(ABS(N60)&gt;2.576,"***",IF(ABS(N60)&gt;1.96,"**",IF(ABS(N60)&gt;1.645,"*","")))</f>
        <v/>
      </c>
      <c r="P60" s="30">
        <v>-10.178989277980047</v>
      </c>
      <c r="Q60" s="30">
        <v>1.864841221286424</v>
      </c>
      <c r="R60" s="30">
        <v>-5.4583678019291488</v>
      </c>
      <c r="S60" s="2" t="str">
        <f>IF(ABS(R60)&gt;2.576,"***",IF(ABS(R60)&gt;1.96,"**",IF(ABS(R60)&gt;1.645,"*","")))</f>
        <v>***</v>
      </c>
      <c r="W60" s="2" t="str">
        <f>IF(ABS(V60)&gt;2.576,"***",IF(ABS(V60)&gt;1.96,"**",IF(ABS(V60)&gt;1.645,"*","")))</f>
        <v/>
      </c>
      <c r="AA60" s="2"/>
    </row>
    <row r="61" spans="1:27" x14ac:dyDescent="0.25">
      <c r="A61" s="4"/>
      <c r="B61" t="s">
        <v>95</v>
      </c>
      <c r="C61" t="s">
        <v>144</v>
      </c>
      <c r="G61" s="2" t="str">
        <f>IF(ABS(F61)&gt;2.576,"***",IF(ABS(F61)&gt;1.96,"**",IF(ABS(F61)&gt;1.645,"*","")))</f>
        <v/>
      </c>
      <c r="H61" s="30">
        <v>-0.39737308183588105</v>
      </c>
      <c r="I61" s="30">
        <v>2.0901334200249702</v>
      </c>
      <c r="J61" s="30">
        <v>-0.19011852450602601</v>
      </c>
      <c r="K61" s="2"/>
      <c r="O61" s="2"/>
      <c r="P61" s="30">
        <v>8.1410734547554604</v>
      </c>
      <c r="Q61" s="30">
        <v>1.6830103344172436</v>
      </c>
      <c r="R61" s="30">
        <v>4.8372094266280161</v>
      </c>
      <c r="S61" s="2"/>
      <c r="W61" s="2"/>
      <c r="AA61" s="2"/>
    </row>
    <row r="62" spans="1:27" x14ac:dyDescent="0.25">
      <c r="A62" s="4"/>
      <c r="G62" s="2"/>
      <c r="K62" s="2"/>
      <c r="L62" s="2"/>
      <c r="M62" s="2"/>
      <c r="N62" s="2"/>
      <c r="O62" s="2"/>
      <c r="P62" s="2"/>
      <c r="Q62" s="2"/>
      <c r="R62" s="2"/>
      <c r="S62" s="2"/>
      <c r="W62" s="2"/>
      <c r="AA62" s="2"/>
    </row>
    <row r="63" spans="1:27" x14ac:dyDescent="0.25">
      <c r="A63" s="4"/>
      <c r="B63" s="3"/>
      <c r="G63" s="2"/>
      <c r="K63" s="2"/>
      <c r="L63" s="2"/>
      <c r="M63" s="2"/>
      <c r="N63" s="2"/>
      <c r="O63" s="2"/>
      <c r="P63" s="2"/>
      <c r="Q63" s="2"/>
      <c r="R63" s="2"/>
      <c r="S63" s="2"/>
      <c r="W63" s="2"/>
      <c r="AA63" s="2"/>
    </row>
    <row r="64" spans="1:27" x14ac:dyDescent="0.25">
      <c r="A64" s="4"/>
      <c r="G64" s="2"/>
      <c r="K64" s="2"/>
      <c r="L64" s="2"/>
      <c r="M64" s="2"/>
      <c r="N64" s="2"/>
      <c r="O64" s="2"/>
      <c r="P64" s="2"/>
      <c r="Q64" s="2"/>
      <c r="R64" s="2"/>
      <c r="S64" s="2"/>
      <c r="W64" s="2"/>
      <c r="AA64" s="2"/>
    </row>
    <row r="65" spans="7:33" ht="15.75" thickBot="1" x14ac:dyDescent="0.3">
      <c r="G65" s="21" t="s">
        <v>146</v>
      </c>
      <c r="K65" s="2"/>
      <c r="L65" s="2"/>
      <c r="M65" s="2"/>
      <c r="N65" s="2"/>
      <c r="O65" s="2"/>
      <c r="P65" s="2"/>
      <c r="Q65" s="2"/>
      <c r="R65" s="2"/>
      <c r="S65" s="2"/>
      <c r="W65" s="2"/>
      <c r="X65" s="2"/>
      <c r="Y65" s="2"/>
      <c r="Z65" s="2"/>
      <c r="AA65" s="2"/>
    </row>
    <row r="66" spans="7:33" x14ac:dyDescent="0.25">
      <c r="G66" s="5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3"/>
      <c r="AC66" s="13"/>
    </row>
    <row r="67" spans="7:33" x14ac:dyDescent="0.25">
      <c r="G67" s="6"/>
      <c r="H67" t="s">
        <v>97</v>
      </c>
      <c r="I67" t="s">
        <v>97</v>
      </c>
      <c r="J67" t="s">
        <v>98</v>
      </c>
      <c r="K67" t="s">
        <v>97</v>
      </c>
      <c r="L67" t="s">
        <v>22</v>
      </c>
      <c r="M67" t="s">
        <v>22</v>
      </c>
      <c r="N67" t="s">
        <v>22</v>
      </c>
      <c r="O67" t="s">
        <v>22</v>
      </c>
      <c r="P67" t="s">
        <v>99</v>
      </c>
      <c r="Q67" t="s">
        <v>99</v>
      </c>
      <c r="R67" t="s">
        <v>99</v>
      </c>
      <c r="S67" t="s">
        <v>99</v>
      </c>
      <c r="AC67" s="14"/>
    </row>
    <row r="68" spans="7:33" x14ac:dyDescent="0.25">
      <c r="G68" s="6" t="s">
        <v>101</v>
      </c>
      <c r="H68" t="s">
        <v>102</v>
      </c>
      <c r="I68" t="s">
        <v>103</v>
      </c>
      <c r="J68" t="s">
        <v>104</v>
      </c>
      <c r="K68" t="s">
        <v>17</v>
      </c>
      <c r="L68" t="s">
        <v>102</v>
      </c>
      <c r="M68" t="s">
        <v>103</v>
      </c>
      <c r="N68" t="s">
        <v>104</v>
      </c>
      <c r="O68" t="s">
        <v>17</v>
      </c>
      <c r="P68" t="s">
        <v>102</v>
      </c>
      <c r="Q68" t="s">
        <v>153</v>
      </c>
      <c r="R68" t="s">
        <v>103</v>
      </c>
      <c r="S68" t="s">
        <v>17</v>
      </c>
      <c r="U68" s="25" t="s">
        <v>105</v>
      </c>
      <c r="AC68" s="14"/>
    </row>
    <row r="69" spans="7:33" x14ac:dyDescent="0.25">
      <c r="G69" s="24" t="s">
        <v>106</v>
      </c>
      <c r="H69" s="15">
        <f>H4</f>
        <v>-2.836318367855692</v>
      </c>
      <c r="I69" s="15" t="str">
        <f>L4</f>
        <v xml:space="preserve">No corrió </v>
      </c>
      <c r="J69" s="15">
        <f>P4</f>
        <v>-12.501255797344228</v>
      </c>
      <c r="K69" s="15">
        <f>X4</f>
        <v>-16.245702547411998</v>
      </c>
      <c r="L69" s="15">
        <f>I4</f>
        <v>2.4650232530915721</v>
      </c>
      <c r="M69" s="15">
        <f>M4</f>
        <v>0</v>
      </c>
      <c r="N69" s="15">
        <f>Q4</f>
        <v>1.7631173849107105</v>
      </c>
      <c r="O69" s="15">
        <f>Y4</f>
        <v>0.11744323972279801</v>
      </c>
      <c r="P69" s="15">
        <f>ABS(H5)</f>
        <v>31.9494526044633</v>
      </c>
      <c r="Q69" s="15">
        <f>ABS(P5)</f>
        <v>10.99062018143935</v>
      </c>
      <c r="R69" s="15">
        <f>ABS(L5)</f>
        <v>0</v>
      </c>
      <c r="S69" s="15">
        <f>ABS(X5)</f>
        <v>51.138632261301439</v>
      </c>
      <c r="U69" s="15">
        <f>H69</f>
        <v>-2.836318367855692</v>
      </c>
      <c r="V69" s="15" t="str">
        <f t="shared" ref="V69:AF69" si="10">I69</f>
        <v xml:space="preserve">No corrió </v>
      </c>
      <c r="W69" s="15">
        <f t="shared" si="10"/>
        <v>-12.501255797344228</v>
      </c>
      <c r="X69" s="15">
        <f t="shared" si="10"/>
        <v>-16.245702547411998</v>
      </c>
      <c r="Y69" s="15">
        <f t="shared" si="10"/>
        <v>2.4650232530915721</v>
      </c>
      <c r="Z69" s="15">
        <f t="shared" si="10"/>
        <v>0</v>
      </c>
      <c r="AA69" s="15">
        <f t="shared" si="10"/>
        <v>1.7631173849107105</v>
      </c>
      <c r="AB69" s="15">
        <f t="shared" si="10"/>
        <v>0.11744323972279801</v>
      </c>
      <c r="AC69" s="28">
        <f t="shared" si="10"/>
        <v>31.9494526044633</v>
      </c>
      <c r="AD69" s="15">
        <f>Q69</f>
        <v>10.99062018143935</v>
      </c>
      <c r="AE69" s="15">
        <f>R69</f>
        <v>0</v>
      </c>
      <c r="AF69" s="15">
        <f t="shared" si="10"/>
        <v>51.138632261301439</v>
      </c>
      <c r="AG69" s="15"/>
    </row>
    <row r="70" spans="7:33" x14ac:dyDescent="0.25">
      <c r="G70" s="24" t="s">
        <v>107</v>
      </c>
      <c r="H70" s="15">
        <f>H6</f>
        <v>-4.8462313499335776</v>
      </c>
      <c r="I70" s="15">
        <f>L6</f>
        <v>0</v>
      </c>
      <c r="J70" s="15">
        <f>P6</f>
        <v>-17.068449870031614</v>
      </c>
      <c r="K70" s="15">
        <f>X6</f>
        <v>-20.778697435199959</v>
      </c>
      <c r="L70" s="15">
        <f>I6</f>
        <v>3.0322175238752642</v>
      </c>
      <c r="M70" s="15">
        <f>M6</f>
        <v>0</v>
      </c>
      <c r="N70" s="15">
        <f>Q6</f>
        <v>2.462459337574602</v>
      </c>
      <c r="O70" s="15">
        <f>Y6</f>
        <v>0.15965666269944839</v>
      </c>
      <c r="P70" s="15">
        <f>ABS(H7)</f>
        <v>39.139549248224597</v>
      </c>
      <c r="Q70" s="15">
        <f>ABS(P7)</f>
        <v>15.064958316193378</v>
      </c>
      <c r="R70" s="15">
        <f>ABS(L7)</f>
        <v>0</v>
      </c>
      <c r="S70" s="15">
        <f>ABS(X7)</f>
        <v>52.955388741912877</v>
      </c>
      <c r="U70" t="str">
        <f>_xlfn.CONCAT(U69,", ",H70)</f>
        <v>-2.83631836785569, -4.84623134993358</v>
      </c>
      <c r="V70" t="str">
        <f t="shared" ref="V70:AF78" si="11">_xlfn.CONCAT(V69,", ",I70)</f>
        <v>No corrió , 0</v>
      </c>
      <c r="W70" t="str">
        <f t="shared" si="11"/>
        <v>-12.5012557973442, -17.0684498700316</v>
      </c>
      <c r="X70" t="str">
        <f t="shared" si="11"/>
        <v>-16.245702547412, -20.7786974352</v>
      </c>
      <c r="Y70" t="str">
        <f t="shared" si="11"/>
        <v>2.46502325309157, 3.03221752387526</v>
      </c>
      <c r="Z70" t="str">
        <f t="shared" si="11"/>
        <v>0, 0</v>
      </c>
      <c r="AA70" t="str">
        <f t="shared" si="11"/>
        <v>1.76311738491071, 2.4624593375746</v>
      </c>
      <c r="AB70" t="str">
        <f t="shared" si="11"/>
        <v>0.117443239722798, 0.159656662699448</v>
      </c>
      <c r="AC70" s="14" t="str">
        <f t="shared" si="11"/>
        <v>31.9494526044633, 39.1395492482246</v>
      </c>
      <c r="AD70" t="str">
        <f>_xlfn.CONCAT(AD69,", ",Q70)</f>
        <v>10.9906201814394, 15.0649583161934</v>
      </c>
      <c r="AE70" t="str">
        <f>_xlfn.CONCAT(AE69,", ",R70)</f>
        <v>0, 0</v>
      </c>
      <c r="AF70" t="str">
        <f t="shared" si="11"/>
        <v>51.1386322613014, 52.9553887419129</v>
      </c>
    </row>
    <row r="71" spans="7:33" x14ac:dyDescent="0.25">
      <c r="G71" s="24" t="s">
        <v>108</v>
      </c>
      <c r="H71" s="15">
        <f>H8</f>
        <v>-53.58099150485134</v>
      </c>
      <c r="I71" s="15">
        <f>L8</f>
        <v>0</v>
      </c>
      <c r="J71" s="15">
        <f>P8</f>
        <v>-24.812063889959141</v>
      </c>
      <c r="K71" s="15">
        <f>X8</f>
        <v>-15.893759563778582</v>
      </c>
      <c r="L71" s="15">
        <f>I8</f>
        <v>16.124049907439812</v>
      </c>
      <c r="M71" s="15">
        <f>M8</f>
        <v>0</v>
      </c>
      <c r="N71" s="15">
        <f>Q8</f>
        <v>3.4937399130248799</v>
      </c>
      <c r="O71" s="15">
        <f>Y8</f>
        <v>0.14538580878548521</v>
      </c>
      <c r="P71" s="15">
        <f>ABS(H9)</f>
        <v>6.7280788877561815</v>
      </c>
      <c r="Q71" s="15">
        <f>ABS(P9)</f>
        <v>17.207088834607731</v>
      </c>
      <c r="R71" s="15">
        <f>ABS(L9)</f>
        <v>0</v>
      </c>
      <c r="S71" s="15">
        <f>ABS(X9)</f>
        <v>56.88970038426416</v>
      </c>
      <c r="U71" t="str">
        <f t="shared" ref="U71:U77" si="12">_xlfn.CONCAT(U70,", ",H71)</f>
        <v>-2.83631836785569, -4.84623134993358, -53.5809915048513</v>
      </c>
      <c r="V71" t="str">
        <f t="shared" si="11"/>
        <v>No corrió , 0, 0</v>
      </c>
      <c r="W71" t="str">
        <f t="shared" si="11"/>
        <v>-12.5012557973442, -17.0684498700316, -24.8120638899591</v>
      </c>
      <c r="X71" t="str">
        <f t="shared" si="11"/>
        <v>-16.245702547412, -20.7786974352, -15.8937595637786</v>
      </c>
      <c r="Y71" t="str">
        <f t="shared" si="11"/>
        <v>2.46502325309157, 3.03221752387526, 16.1240499074398</v>
      </c>
      <c r="Z71" t="str">
        <f t="shared" si="11"/>
        <v>0, 0, 0</v>
      </c>
      <c r="AA71" t="str">
        <f t="shared" si="11"/>
        <v>1.76311738491071, 2.4624593375746, 3.49373991302488</v>
      </c>
      <c r="AB71" t="str">
        <f t="shared" si="11"/>
        <v>0.117443239722798, 0.159656662699448, 0.145385808785485</v>
      </c>
      <c r="AC71" s="14" t="str">
        <f t="shared" si="11"/>
        <v>31.9494526044633, 39.1395492482246, 6.72807888775618</v>
      </c>
      <c r="AD71" t="str">
        <f t="shared" ref="AD71:AD77" si="13">_xlfn.CONCAT(AD70,", ",Q71)</f>
        <v>10.9906201814394, 15.0649583161934, 17.2070888346077</v>
      </c>
      <c r="AE71" t="str">
        <f t="shared" ref="AE71:AE78" si="14">_xlfn.CONCAT(AE70,", ",R71)</f>
        <v>0, 0, 0</v>
      </c>
      <c r="AF71" t="str">
        <f t="shared" si="11"/>
        <v>51.1386322613014, 52.9553887419129, 56.8897003842642</v>
      </c>
    </row>
    <row r="72" spans="7:33" x14ac:dyDescent="0.25">
      <c r="G72" s="6" t="s">
        <v>109</v>
      </c>
      <c r="H72" s="15">
        <f>H12</f>
        <v>8.1797309755577494</v>
      </c>
      <c r="I72" s="15">
        <f>L12</f>
        <v>0</v>
      </c>
      <c r="J72" s="15">
        <f>P12</f>
        <v>2.1480615569328081</v>
      </c>
      <c r="K72" s="15">
        <f>X12</f>
        <v>8.936864621976472</v>
      </c>
      <c r="L72" s="15">
        <f>I12</f>
        <v>3.231048334738654</v>
      </c>
      <c r="M72" s="15">
        <f>M12</f>
        <v>0</v>
      </c>
      <c r="N72" s="15">
        <f>Q12</f>
        <v>0.73703955733698256</v>
      </c>
      <c r="O72" s="15">
        <f>Y12</f>
        <v>7.5555652105236959E-2</v>
      </c>
      <c r="P72" s="15">
        <f>ABS(H13)</f>
        <v>8.2484717307369806</v>
      </c>
      <c r="Q72" s="15">
        <f>ABS(P13)</f>
        <v>2.3180494684966422</v>
      </c>
      <c r="R72" s="15">
        <f>ABS(L13)</f>
        <v>0</v>
      </c>
      <c r="S72" s="15">
        <f>ABS(X13)</f>
        <v>2.1973860691048817</v>
      </c>
      <c r="U72" t="str">
        <f t="shared" si="12"/>
        <v>-2.83631836785569, -4.84623134993358, -53.5809915048513, 8.17973097555775</v>
      </c>
      <c r="V72" t="str">
        <f t="shared" si="11"/>
        <v>No corrió , 0, 0, 0</v>
      </c>
      <c r="W72" t="str">
        <f t="shared" si="11"/>
        <v>-12.5012557973442, -17.0684498700316, -24.8120638899591, 2.14806155693281</v>
      </c>
      <c r="X72" t="str">
        <f t="shared" si="11"/>
        <v>-16.245702547412, -20.7786974352, -15.8937595637786, 8.93686462197647</v>
      </c>
      <c r="Y72" t="str">
        <f t="shared" si="11"/>
        <v>2.46502325309157, 3.03221752387526, 16.1240499074398, 3.23104833473865</v>
      </c>
      <c r="Z72" t="str">
        <f t="shared" si="11"/>
        <v>0, 0, 0, 0</v>
      </c>
      <c r="AA72" t="str">
        <f t="shared" si="11"/>
        <v>1.76311738491071, 2.4624593375746, 3.49373991302488, 0.737039557336983</v>
      </c>
      <c r="AB72" t="str">
        <f t="shared" si="11"/>
        <v>0.117443239722798, 0.159656662699448, 0.145385808785485, 0.075555652105237</v>
      </c>
      <c r="AC72" s="14" t="str">
        <f t="shared" si="11"/>
        <v>31.9494526044633, 39.1395492482246, 6.72807888775618, 8.24847173073698</v>
      </c>
      <c r="AD72" t="str">
        <f t="shared" si="13"/>
        <v>10.9906201814394, 15.0649583161934, 17.2070888346077, 2.31804946849664</v>
      </c>
      <c r="AE72" t="str">
        <f t="shared" si="14"/>
        <v>0, 0, 0, 0</v>
      </c>
      <c r="AF72" t="str">
        <f t="shared" si="11"/>
        <v>51.1386322613014, 52.9553887419129, 56.8897003842642, 2.19738606910488</v>
      </c>
    </row>
    <row r="73" spans="7:33" x14ac:dyDescent="0.25">
      <c r="G73" s="6" t="s">
        <v>110</v>
      </c>
      <c r="H73" s="15">
        <f>H14</f>
        <v>5.0407736277747484</v>
      </c>
      <c r="I73" s="15">
        <f>L14</f>
        <v>0</v>
      </c>
      <c r="J73" s="15">
        <f>P14</f>
        <v>5.3082785074355199</v>
      </c>
      <c r="K73" s="15">
        <f>X14</f>
        <v>18.472179945562583</v>
      </c>
      <c r="L73" s="15">
        <f>I14</f>
        <v>2.3464738355461119</v>
      </c>
      <c r="M73" s="15">
        <f>M14</f>
        <v>0</v>
      </c>
      <c r="N73" s="15">
        <f>Q14</f>
        <v>0.91942709399125977</v>
      </c>
      <c r="O73" s="15">
        <f>Y14</f>
        <v>0.14350243564314949</v>
      </c>
      <c r="P73" s="15">
        <f>ABS(H15)</f>
        <v>20.620663140491882</v>
      </c>
      <c r="Q73" s="15">
        <f>ABS(P15)</f>
        <v>5.2591521411984861</v>
      </c>
      <c r="R73" s="15">
        <f>ABS(L15)</f>
        <v>0</v>
      </c>
      <c r="S73" s="15">
        <f>ABS(X15)</f>
        <v>9.0321027366983238</v>
      </c>
      <c r="U73" t="str">
        <f t="shared" si="12"/>
        <v>-2.83631836785569, -4.84623134993358, -53.5809915048513, 8.17973097555775, 5.04077362777475</v>
      </c>
      <c r="V73" t="str">
        <f t="shared" si="11"/>
        <v>No corrió , 0, 0, 0, 0</v>
      </c>
      <c r="W73" t="str">
        <f t="shared" si="11"/>
        <v>-12.5012557973442, -17.0684498700316, -24.8120638899591, 2.14806155693281, 5.30827850743552</v>
      </c>
      <c r="X73" t="str">
        <f t="shared" si="11"/>
        <v>-16.245702547412, -20.7786974352, -15.8937595637786, 8.93686462197647, 18.4721799455626</v>
      </c>
      <c r="Y73" t="str">
        <f t="shared" si="11"/>
        <v>2.46502325309157, 3.03221752387526, 16.1240499074398, 3.23104833473865, 2.34647383554611</v>
      </c>
      <c r="Z73" t="str">
        <f t="shared" si="11"/>
        <v>0, 0, 0, 0, 0</v>
      </c>
      <c r="AA73" t="str">
        <f t="shared" si="11"/>
        <v>1.76311738491071, 2.4624593375746, 3.49373991302488, 0.737039557336983, 0.91942709399126</v>
      </c>
      <c r="AB73" t="str">
        <f t="shared" si="11"/>
        <v>0.117443239722798, 0.159656662699448, 0.145385808785485, 0.075555652105237, 0.143502435643149</v>
      </c>
      <c r="AC73" s="14" t="str">
        <f t="shared" si="11"/>
        <v>31.9494526044633, 39.1395492482246, 6.72807888775618, 8.24847173073698, 20.6206631404919</v>
      </c>
      <c r="AD73" t="str">
        <f t="shared" si="13"/>
        <v>10.9906201814394, 15.0649583161934, 17.2070888346077, 2.31804946849664, 5.25915214119849</v>
      </c>
      <c r="AE73" t="str">
        <f t="shared" si="14"/>
        <v>0, 0, 0, 0, 0</v>
      </c>
      <c r="AF73" t="str">
        <f t="shared" si="11"/>
        <v>51.1386322613014, 52.9553887419129, 56.8897003842642, 2.19738606910488, 9.03210273669832</v>
      </c>
    </row>
    <row r="74" spans="7:33" x14ac:dyDescent="0.25">
      <c r="G74" s="6" t="s">
        <v>111</v>
      </c>
      <c r="H74" s="15">
        <f>H16</f>
        <v>7.4831704111421811</v>
      </c>
      <c r="I74" s="15">
        <f>L16</f>
        <v>0</v>
      </c>
      <c r="J74" s="15">
        <f>P16</f>
        <v>3.047756126579622</v>
      </c>
      <c r="K74" s="15">
        <f>X16</f>
        <v>10.728354994198259</v>
      </c>
      <c r="L74" s="15">
        <f>I16</f>
        <v>2.8113714468195701</v>
      </c>
      <c r="M74" s="15">
        <f>M16</f>
        <v>0</v>
      </c>
      <c r="N74" s="15">
        <f>Q16</f>
        <v>0.73671589601121479</v>
      </c>
      <c r="O74" s="15">
        <f>Y16</f>
        <v>8.6972912473952613E-2</v>
      </c>
      <c r="P74" s="15">
        <f>ABS(H17)</f>
        <v>1.2474998970191438</v>
      </c>
      <c r="Q74" s="15">
        <f>ABS(P17)</f>
        <v>5.0725159246772282</v>
      </c>
      <c r="R74" s="15">
        <f>ABS(L17)</f>
        <v>0</v>
      </c>
      <c r="S74" s="15">
        <f>ABS(X17)</f>
        <v>3.3959372670118135</v>
      </c>
      <c r="U74" t="str">
        <f t="shared" si="12"/>
        <v>-2.83631836785569, -4.84623134993358, -53.5809915048513, 8.17973097555775, 5.04077362777475, 7.48317041114218</v>
      </c>
      <c r="V74" t="str">
        <f t="shared" si="11"/>
        <v>No corrió , 0, 0, 0, 0, 0</v>
      </c>
      <c r="W74" t="str">
        <f t="shared" si="11"/>
        <v>-12.5012557973442, -17.0684498700316, -24.8120638899591, 2.14806155693281, 5.30827850743552, 3.04775612657962</v>
      </c>
      <c r="X74" t="str">
        <f t="shared" si="11"/>
        <v>-16.245702547412, -20.7786974352, -15.8937595637786, 8.93686462197647, 18.4721799455626, 10.7283549941983</v>
      </c>
      <c r="Y74" t="str">
        <f t="shared" si="11"/>
        <v>2.46502325309157, 3.03221752387526, 16.1240499074398, 3.23104833473865, 2.34647383554611, 2.81137144681957</v>
      </c>
      <c r="Z74" t="str">
        <f t="shared" si="11"/>
        <v>0, 0, 0, 0, 0, 0</v>
      </c>
      <c r="AA74" t="str">
        <f t="shared" si="11"/>
        <v>1.76311738491071, 2.4624593375746, 3.49373991302488, 0.737039557336983, 0.91942709399126, 0.736715896011215</v>
      </c>
      <c r="AB74" t="str">
        <f t="shared" si="11"/>
        <v>0.117443239722798, 0.159656662699448, 0.145385808785485, 0.075555652105237, 0.143502435643149, 0.0869729124739526</v>
      </c>
      <c r="AC74" s="14" t="str">
        <f t="shared" si="11"/>
        <v>31.9494526044633, 39.1395492482246, 6.72807888775618, 8.24847173073698, 20.6206631404919, 1.24749989701914</v>
      </c>
      <c r="AD74" t="str">
        <f t="shared" si="13"/>
        <v>10.9906201814394, 15.0649583161934, 17.2070888346077, 2.31804946849664, 5.25915214119849, 5.07251592467723</v>
      </c>
      <c r="AE74" t="str">
        <f t="shared" si="14"/>
        <v>0, 0, 0, 0, 0, 0</v>
      </c>
      <c r="AF74" t="str">
        <f t="shared" si="11"/>
        <v>51.1386322613014, 52.9553887419129, 56.8897003842642, 2.19738606910488, 9.03210273669832, 3.39593726701181</v>
      </c>
    </row>
    <row r="75" spans="7:33" x14ac:dyDescent="0.25">
      <c r="G75" s="6" t="s">
        <v>58</v>
      </c>
      <c r="H75" s="15">
        <f>H18</f>
        <v>6.802702111409836</v>
      </c>
      <c r="I75" s="15">
        <f>L18</f>
        <v>0</v>
      </c>
      <c r="J75" s="15">
        <f>P18</f>
        <v>2.3626174735885441</v>
      </c>
      <c r="K75" s="15">
        <f>X18</f>
        <v>8.8713034272839266</v>
      </c>
      <c r="L75" s="15">
        <f>I18</f>
        <v>2.4284056175105757</v>
      </c>
      <c r="M75" s="15">
        <f>M18</f>
        <v>0</v>
      </c>
      <c r="N75" s="15">
        <f>Q18</f>
        <v>0.60742629624980826</v>
      </c>
      <c r="O75" s="15">
        <f>Y18</f>
        <v>7.2021645884921257E-2</v>
      </c>
      <c r="P75" s="15">
        <f>ABS(H19)</f>
        <v>5.299941876185386</v>
      </c>
      <c r="Q75" s="15">
        <f>ABS(P19)</f>
        <v>4.3734041989120396</v>
      </c>
      <c r="R75" s="15">
        <f>ABS(L19)</f>
        <v>0</v>
      </c>
      <c r="S75" s="15">
        <f>ABS(X19)</f>
        <v>8.7982462429579407</v>
      </c>
      <c r="U75" t="str">
        <f t="shared" si="12"/>
        <v>-2.83631836785569, -4.84623134993358, -53.5809915048513, 8.17973097555775, 5.04077362777475, 7.48317041114218, 6.80270211140984</v>
      </c>
      <c r="V75" t="str">
        <f t="shared" si="11"/>
        <v>No corrió , 0, 0, 0, 0, 0, 0</v>
      </c>
      <c r="W75" t="str">
        <f t="shared" si="11"/>
        <v>-12.5012557973442, -17.0684498700316, -24.8120638899591, 2.14806155693281, 5.30827850743552, 3.04775612657962, 2.36261747358854</v>
      </c>
      <c r="X75" t="str">
        <f t="shared" si="11"/>
        <v>-16.245702547412, -20.7786974352, -15.8937595637786, 8.93686462197647, 18.4721799455626, 10.7283549941983, 8.87130342728393</v>
      </c>
      <c r="Y75" t="str">
        <f t="shared" si="11"/>
        <v>2.46502325309157, 3.03221752387526, 16.1240499074398, 3.23104833473865, 2.34647383554611, 2.81137144681957, 2.42840561751058</v>
      </c>
      <c r="Z75" t="str">
        <f t="shared" si="11"/>
        <v>0, 0, 0, 0, 0, 0, 0</v>
      </c>
      <c r="AA75" t="str">
        <f t="shared" si="11"/>
        <v>1.76311738491071, 2.4624593375746, 3.49373991302488, 0.737039557336983, 0.91942709399126, 0.736715896011215, 0.607426296249808</v>
      </c>
      <c r="AB75" t="str">
        <f t="shared" si="11"/>
        <v>0.117443239722798, 0.159656662699448, 0.145385808785485, 0.075555652105237, 0.143502435643149, 0.0869729124739526, 0.0720216458849213</v>
      </c>
      <c r="AC75" s="14" t="str">
        <f t="shared" si="11"/>
        <v>31.9494526044633, 39.1395492482246, 6.72807888775618, 8.24847173073698, 20.6206631404919, 1.24749989701914, 5.29994187618539</v>
      </c>
      <c r="AD75" t="str">
        <f t="shared" si="13"/>
        <v>10.9906201814394, 15.0649583161934, 17.2070888346077, 2.31804946849664, 5.25915214119849, 5.07251592467723, 4.37340419891204</v>
      </c>
      <c r="AE75" t="str">
        <f t="shared" si="14"/>
        <v>0, 0, 0, 0, 0, 0, 0</v>
      </c>
      <c r="AF75" t="str">
        <f t="shared" si="11"/>
        <v>51.1386322613014, 52.9553887419129, 56.8897003842642, 2.19738606910488, 9.03210273669832, 3.39593726701181, 8.79824624295794</v>
      </c>
    </row>
    <row r="76" spans="7:33" x14ac:dyDescent="0.25">
      <c r="G76" s="6" t="s">
        <v>61</v>
      </c>
      <c r="H76" s="15">
        <f>H20</f>
        <v>3.3463389960427641</v>
      </c>
      <c r="I76" s="15">
        <f>L20</f>
        <v>0</v>
      </c>
      <c r="J76" s="15">
        <f>P20</f>
        <v>0.91047576621917925</v>
      </c>
      <c r="K76" s="15">
        <f>X20</f>
        <v>2.4066457128126242</v>
      </c>
      <c r="L76" s="15">
        <f>I20</f>
        <v>1.7912344335406452</v>
      </c>
      <c r="M76" s="15">
        <f>M20</f>
        <v>0</v>
      </c>
      <c r="N76" s="15">
        <f>Q20</f>
        <v>0.52292019694156999</v>
      </c>
      <c r="O76" s="15">
        <f>Y20</f>
        <v>2.8270588008382981E-2</v>
      </c>
      <c r="P76" s="15">
        <f>ABS(H21)</f>
        <v>8.2821271695858254</v>
      </c>
      <c r="Q76" s="15">
        <f>ABS(P21)</f>
        <v>1.9246842085889462</v>
      </c>
      <c r="R76" s="15">
        <f>ABS(L21)</f>
        <v>0</v>
      </c>
      <c r="S76" s="15">
        <f>ABS(X21)</f>
        <v>4.8458267742189722</v>
      </c>
      <c r="U76" t="str">
        <f t="shared" si="12"/>
        <v>-2.83631836785569, -4.84623134993358, -53.5809915048513, 8.17973097555775, 5.04077362777475, 7.48317041114218, 6.80270211140984, 3.34633899604276</v>
      </c>
      <c r="V76" t="str">
        <f t="shared" si="11"/>
        <v>No corrió , 0, 0, 0, 0, 0, 0, 0</v>
      </c>
      <c r="W76" t="str">
        <f t="shared" si="11"/>
        <v>-12.5012557973442, -17.0684498700316, -24.8120638899591, 2.14806155693281, 5.30827850743552, 3.04775612657962, 2.36261747358854, 0.910475766219179</v>
      </c>
      <c r="X76" t="str">
        <f t="shared" si="11"/>
        <v>-16.245702547412, -20.7786974352, -15.8937595637786, 8.93686462197647, 18.4721799455626, 10.7283549941983, 8.87130342728393, 2.40664571281262</v>
      </c>
      <c r="Y76" t="str">
        <f t="shared" si="11"/>
        <v>2.46502325309157, 3.03221752387526, 16.1240499074398, 3.23104833473865, 2.34647383554611, 2.81137144681957, 2.42840561751058, 1.79123443354065</v>
      </c>
      <c r="Z76" t="str">
        <f t="shared" si="11"/>
        <v>0, 0, 0, 0, 0, 0, 0, 0</v>
      </c>
      <c r="AA76" t="str">
        <f t="shared" si="11"/>
        <v>1.76311738491071, 2.4624593375746, 3.49373991302488, 0.737039557336983, 0.91942709399126, 0.736715896011215, 0.607426296249808, 0.52292019694157</v>
      </c>
      <c r="AB76" t="str">
        <f t="shared" si="11"/>
        <v>0.117443239722798, 0.159656662699448, 0.145385808785485, 0.075555652105237, 0.143502435643149, 0.0869729124739526, 0.0720216458849213, 0.028270588008383</v>
      </c>
      <c r="AC76" s="14" t="str">
        <f t="shared" si="11"/>
        <v>31.9494526044633, 39.1395492482246, 6.72807888775618, 8.24847173073698, 20.6206631404919, 1.24749989701914, 5.29994187618539, 8.28212716958583</v>
      </c>
      <c r="AD76" t="str">
        <f t="shared" si="13"/>
        <v>10.9906201814394, 15.0649583161934, 17.2070888346077, 2.31804946849664, 5.25915214119849, 5.07251592467723, 4.37340419891204, 1.92468420858895</v>
      </c>
      <c r="AE76" t="str">
        <f t="shared" si="14"/>
        <v>0, 0, 0, 0, 0, 0, 0, 0</v>
      </c>
      <c r="AF76" t="str">
        <f t="shared" si="11"/>
        <v>51.1386322613014, 52.9553887419129, 56.8897003842642, 2.19738606910488, 9.03210273669832, 3.39593726701181, 8.79824624295794, 4.84582677421897</v>
      </c>
    </row>
    <row r="77" spans="7:33" x14ac:dyDescent="0.25">
      <c r="G77" s="6" t="s">
        <v>112</v>
      </c>
      <c r="H77" s="15">
        <f>H22</f>
        <v>-4.902975396319694</v>
      </c>
      <c r="I77" s="15">
        <f>L22</f>
        <v>0</v>
      </c>
      <c r="J77" s="15">
        <f>P22</f>
        <v>-2.237879582287928</v>
      </c>
      <c r="K77" s="15">
        <f>X22</f>
        <v>-1.4522588874304865</v>
      </c>
      <c r="L77" s="15">
        <f>I22</f>
        <v>2.0409068505251677</v>
      </c>
      <c r="M77" s="15">
        <f>M22</f>
        <v>0</v>
      </c>
      <c r="N77" s="15">
        <f>Q22</f>
        <v>0.58140391915304401</v>
      </c>
      <c r="O77" s="15">
        <f>Y22</f>
        <v>2.494602044256897E-2</v>
      </c>
      <c r="P77" s="15">
        <f>ABS(H23)</f>
        <v>8.3150235075052823</v>
      </c>
      <c r="Q77" s="15">
        <f>ABS(P23)</f>
        <v>3.9035766651830723</v>
      </c>
      <c r="R77" s="15">
        <f>ABS(L23)</f>
        <v>0</v>
      </c>
      <c r="S77" s="15">
        <f>ABS(X23)</f>
        <v>0.50066619837248494</v>
      </c>
      <c r="U77" t="str">
        <f t="shared" si="12"/>
        <v>-2.83631836785569, -4.84623134993358, -53.5809915048513, 8.17973097555775, 5.04077362777475, 7.48317041114218, 6.80270211140984, 3.34633899604276, -4.90297539631969</v>
      </c>
      <c r="V77" t="str">
        <f t="shared" si="11"/>
        <v>No corrió , 0, 0, 0, 0, 0, 0, 0, 0</v>
      </c>
      <c r="W77" t="str">
        <f t="shared" si="11"/>
        <v>-12.5012557973442, -17.0684498700316, -24.8120638899591, 2.14806155693281, 5.30827850743552, 3.04775612657962, 2.36261747358854, 0.910475766219179, -2.23787958228793</v>
      </c>
      <c r="X77" t="str">
        <f t="shared" si="11"/>
        <v>-16.245702547412, -20.7786974352, -15.8937595637786, 8.93686462197647, 18.4721799455626, 10.7283549941983, 8.87130342728393, 2.40664571281262, -1.45225888743049</v>
      </c>
      <c r="Y77" t="str">
        <f t="shared" si="11"/>
        <v>2.46502325309157, 3.03221752387526, 16.1240499074398, 3.23104833473865, 2.34647383554611, 2.81137144681957, 2.42840561751058, 1.79123443354065, 2.04090685052517</v>
      </c>
      <c r="Z77" t="str">
        <f t="shared" si="11"/>
        <v>0, 0, 0, 0, 0, 0, 0, 0, 0</v>
      </c>
      <c r="AA77" t="str">
        <f t="shared" si="11"/>
        <v>1.76311738491071, 2.4624593375746, 3.49373991302488, 0.737039557336983, 0.91942709399126, 0.736715896011215, 0.607426296249808, 0.52292019694157, 0.581403919153044</v>
      </c>
      <c r="AB77" t="str">
        <f t="shared" si="11"/>
        <v>0.117443239722798, 0.159656662699448, 0.145385808785485, 0.075555652105237, 0.143502435643149, 0.0869729124739526, 0.0720216458849213, 0.028270588008383, 0.024946020442569</v>
      </c>
      <c r="AC77" s="14" t="str">
        <f t="shared" si="11"/>
        <v>31.9494526044633, 39.1395492482246, 6.72807888775618, 8.24847173073698, 20.6206631404919, 1.24749989701914, 5.29994187618539, 8.28212716958583, 8.31502350750528</v>
      </c>
      <c r="AD77" t="str">
        <f t="shared" si="13"/>
        <v>10.9906201814394, 15.0649583161934, 17.2070888346077, 2.31804946849664, 5.25915214119849, 5.07251592467723, 4.37340419891204, 1.92468420858895, 3.90357666518307</v>
      </c>
      <c r="AE77" t="str">
        <f t="shared" si="14"/>
        <v>0, 0, 0, 0, 0, 0, 0, 0, 0</v>
      </c>
      <c r="AF77" t="str">
        <f t="shared" si="11"/>
        <v>51.1386322613014, 52.9553887419129, 56.8897003842642, 2.19738606910488, 9.03210273669832, 3.39593726701181, 8.79824624295794, 4.84582677421897, 0.500666198372485</v>
      </c>
    </row>
    <row r="78" spans="7:33" x14ac:dyDescent="0.25">
      <c r="G78" s="6" t="s">
        <v>113</v>
      </c>
      <c r="H78" s="15">
        <f>H24</f>
        <v>-6.3773929608865743</v>
      </c>
      <c r="I78" s="15">
        <f>L24</f>
        <v>0</v>
      </c>
      <c r="J78" s="15">
        <f>P24</f>
        <v>-3.1679285941057325</v>
      </c>
      <c r="K78" s="15">
        <f>X24</f>
        <v>-1.9133722828633879</v>
      </c>
      <c r="L78" s="15">
        <f>I24</f>
        <v>2.4739267078428102</v>
      </c>
      <c r="M78" s="15">
        <f>M24</f>
        <v>0</v>
      </c>
      <c r="N78" s="15">
        <f>Q24</f>
        <v>0.70476152953707294</v>
      </c>
      <c r="O78" s="15">
        <f>Y24</f>
        <v>2.767786414415823E-2</v>
      </c>
      <c r="P78" s="15">
        <f>ABS(H25)</f>
        <v>14.175247542325355</v>
      </c>
      <c r="Q78" s="15">
        <f>ABS(P25)</f>
        <v>5.9096465714539104</v>
      </c>
      <c r="R78" s="15">
        <f>ABS(L25)</f>
        <v>0</v>
      </c>
      <c r="S78" s="15">
        <f>ABS(X25)</f>
        <v>5.32769235123145</v>
      </c>
      <c r="U78" s="27" t="s">
        <v>188</v>
      </c>
      <c r="V78" s="27" t="str">
        <f t="shared" si="11"/>
        <v>No corrió , 0, 0, 0, 0, 0, 0, 0, 0, 0</v>
      </c>
      <c r="W78" s="27" t="s">
        <v>189</v>
      </c>
      <c r="X78" s="27" t="s">
        <v>221</v>
      </c>
      <c r="Y78" s="26" t="s">
        <v>241</v>
      </c>
      <c r="Z78" s="26" t="str">
        <f t="shared" si="11"/>
        <v>0, 0, 0, 0, 0, 0, 0, 0, 0, 0</v>
      </c>
      <c r="AA78" s="26" t="s">
        <v>242</v>
      </c>
      <c r="AB78" s="26" t="s">
        <v>222</v>
      </c>
      <c r="AC78" s="41" t="s">
        <v>191</v>
      </c>
      <c r="AD78" s="40" t="s">
        <v>192</v>
      </c>
      <c r="AE78" s="40" t="str">
        <f t="shared" si="14"/>
        <v>0, 0, 0, 0, 0, 0, 0, 0, 0, 0</v>
      </c>
      <c r="AF78" s="40" t="s">
        <v>223</v>
      </c>
    </row>
    <row r="79" spans="7:33" x14ac:dyDescent="0.25">
      <c r="G79" s="6" t="s">
        <v>114</v>
      </c>
      <c r="H79" s="15">
        <f>H28</f>
        <v>-50.744673136995644</v>
      </c>
      <c r="I79" s="15">
        <f>L28</f>
        <v>0</v>
      </c>
      <c r="J79" s="15">
        <f>P28</f>
        <v>-12.310808092614906</v>
      </c>
      <c r="K79" s="15">
        <f>X28</f>
        <v>0.35194298363341542</v>
      </c>
      <c r="L79" s="15">
        <f>I28</f>
        <v>21.916924435394961</v>
      </c>
      <c r="M79" s="15">
        <f>M28</f>
        <v>0</v>
      </c>
      <c r="N79" s="15">
        <f>Q28</f>
        <v>2.5493067586676261</v>
      </c>
      <c r="O79" s="15">
        <f>Y28</f>
        <v>7.8962386771343956E-2</v>
      </c>
      <c r="P79" s="15"/>
      <c r="Q79" s="15"/>
      <c r="R79" s="15"/>
      <c r="S79" s="15"/>
      <c r="T79" s="15"/>
      <c r="AC79" s="14"/>
    </row>
    <row r="80" spans="7:33" x14ac:dyDescent="0.25">
      <c r="G80" s="6" t="s">
        <v>115</v>
      </c>
      <c r="H80" s="15">
        <f>H29</f>
        <v>-48.734760154917758</v>
      </c>
      <c r="I80" s="15">
        <f>L29</f>
        <v>0</v>
      </c>
      <c r="J80" s="15">
        <f>P29</f>
        <v>-7.7436140199275201</v>
      </c>
      <c r="K80" s="15">
        <f>X29</f>
        <v>4.8849378714213678</v>
      </c>
      <c r="L80" s="15">
        <f>I29</f>
        <v>20.31964008469858</v>
      </c>
      <c r="M80" s="15">
        <f>M29</f>
        <v>0</v>
      </c>
      <c r="N80" s="15">
        <f>Q29</f>
        <v>1.8533777683931558</v>
      </c>
      <c r="O80" s="15">
        <f>Y29</f>
        <v>7.0340770407355327E-2</v>
      </c>
      <c r="P80" s="15"/>
      <c r="AC80" s="14"/>
    </row>
    <row r="81" spans="7:38" ht="15.75" thickBot="1" x14ac:dyDescent="0.3">
      <c r="G81" s="8" t="s">
        <v>116</v>
      </c>
      <c r="H81" s="16">
        <f>H30</f>
        <v>2.009912982077886</v>
      </c>
      <c r="I81" s="16">
        <f>L30</f>
        <v>0</v>
      </c>
      <c r="J81" s="16">
        <f>P30</f>
        <v>4.5671940726873856</v>
      </c>
      <c r="K81" s="16">
        <f>X30</f>
        <v>4.5329948877879538</v>
      </c>
      <c r="L81" s="16">
        <f>I30</f>
        <v>5.1818194754287807</v>
      </c>
      <c r="M81" s="16">
        <f>M30</f>
        <v>0</v>
      </c>
      <c r="N81" s="16">
        <f>Q30</f>
        <v>1.4642257459812202</v>
      </c>
      <c r="O81" s="16">
        <f>Y30</f>
        <v>3.9440303825447443E-2</v>
      </c>
      <c r="P81" s="16"/>
      <c r="Q81" s="9"/>
      <c r="R81" s="16"/>
      <c r="S81" s="16"/>
      <c r="T81" s="9"/>
      <c r="U81" s="9"/>
      <c r="V81" s="9"/>
      <c r="W81" s="9"/>
      <c r="X81" s="9"/>
      <c r="Y81" s="9"/>
      <c r="Z81" s="9"/>
      <c r="AA81" s="9"/>
      <c r="AB81" s="9"/>
      <c r="AC81" s="17"/>
    </row>
    <row r="84" spans="7:38" ht="15.75" thickBot="1" x14ac:dyDescent="0.3">
      <c r="G84" s="21" t="s">
        <v>147</v>
      </c>
      <c r="J84" s="2"/>
      <c r="K84" s="2"/>
      <c r="L84" s="2"/>
      <c r="M84" s="2"/>
      <c r="N84" s="2"/>
      <c r="O84" s="2"/>
      <c r="Q84" s="2"/>
      <c r="U84" s="2"/>
      <c r="V84" s="2"/>
      <c r="W84" s="2"/>
      <c r="X84" s="2"/>
      <c r="Y84" s="2"/>
    </row>
    <row r="85" spans="7:38" x14ac:dyDescent="0.25">
      <c r="G85" s="5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3"/>
    </row>
    <row r="86" spans="7:38" x14ac:dyDescent="0.25">
      <c r="G86" s="6"/>
      <c r="H86" t="s">
        <v>97</v>
      </c>
      <c r="I86" t="s">
        <v>97</v>
      </c>
      <c r="J86" t="s">
        <v>98</v>
      </c>
      <c r="K86" t="s">
        <v>22</v>
      </c>
      <c r="L86" t="s">
        <v>22</v>
      </c>
      <c r="M86" t="s">
        <v>22</v>
      </c>
      <c r="N86" t="s">
        <v>99</v>
      </c>
      <c r="O86" t="s">
        <v>99</v>
      </c>
      <c r="P86" t="s">
        <v>99</v>
      </c>
      <c r="AC86" s="14"/>
    </row>
    <row r="87" spans="7:38" x14ac:dyDescent="0.25">
      <c r="G87" s="6" t="s">
        <v>101</v>
      </c>
      <c r="H87" t="s">
        <v>102</v>
      </c>
      <c r="I87" t="s">
        <v>103</v>
      </c>
      <c r="J87" t="s">
        <v>104</v>
      </c>
      <c r="K87" t="s">
        <v>102</v>
      </c>
      <c r="L87" t="s">
        <v>103</v>
      </c>
      <c r="M87" t="s">
        <v>104</v>
      </c>
      <c r="N87" t="s">
        <v>102</v>
      </c>
      <c r="O87" t="s">
        <v>103</v>
      </c>
      <c r="P87" t="s">
        <v>104</v>
      </c>
      <c r="U87" s="25" t="s">
        <v>105</v>
      </c>
      <c r="AC87" s="14"/>
    </row>
    <row r="88" spans="7:38" x14ac:dyDescent="0.25">
      <c r="G88" s="24" t="s">
        <v>106</v>
      </c>
      <c r="H88" s="15">
        <f>H35</f>
        <v>0.83308082033856778</v>
      </c>
      <c r="I88" s="15" t="str">
        <f>L35</f>
        <v xml:space="preserve">No corrió </v>
      </c>
      <c r="J88" s="15">
        <f>P35</f>
        <v>-13.339344799723969</v>
      </c>
      <c r="K88" s="15">
        <f>I35</f>
        <v>1.6129244110091894</v>
      </c>
      <c r="L88" s="15">
        <f>M35</f>
        <v>0</v>
      </c>
      <c r="M88" s="15">
        <f>Q35</f>
        <v>1.4535026517845697</v>
      </c>
      <c r="N88" s="15">
        <f>ABS(H36)</f>
        <v>24.8673985489675</v>
      </c>
      <c r="O88" s="15">
        <f>ABS(L36)</f>
        <v>0</v>
      </c>
      <c r="P88" s="15">
        <f>ABS(P36)</f>
        <v>12.73589438439333</v>
      </c>
      <c r="U88" s="15">
        <f>H88</f>
        <v>0.83308082033856778</v>
      </c>
      <c r="V88" s="15" t="str">
        <f t="shared" ref="V88:AC88" si="15">I88</f>
        <v xml:space="preserve">No corrió </v>
      </c>
      <c r="W88" s="15">
        <f t="shared" si="15"/>
        <v>-13.339344799723969</v>
      </c>
      <c r="X88" s="15">
        <f t="shared" si="15"/>
        <v>1.6129244110091894</v>
      </c>
      <c r="Y88" s="15">
        <f t="shared" si="15"/>
        <v>0</v>
      </c>
      <c r="Z88" s="15">
        <f t="shared" si="15"/>
        <v>1.4535026517845697</v>
      </c>
      <c r="AA88" s="15">
        <f t="shared" si="15"/>
        <v>24.8673985489675</v>
      </c>
      <c r="AB88" s="15">
        <f t="shared" si="15"/>
        <v>0</v>
      </c>
      <c r="AC88" s="28">
        <f t="shared" si="15"/>
        <v>12.73589438439333</v>
      </c>
      <c r="AD88" s="15"/>
      <c r="AE88" s="15"/>
      <c r="AF88" s="15"/>
      <c r="AG88" s="15"/>
      <c r="AH88" s="15"/>
      <c r="AI88" s="15"/>
      <c r="AJ88" s="15"/>
      <c r="AK88" s="15"/>
      <c r="AL88" s="15"/>
    </row>
    <row r="89" spans="7:38" x14ac:dyDescent="0.25">
      <c r="G89" s="24" t="s">
        <v>107</v>
      </c>
      <c r="H89" s="15">
        <f>H37</f>
        <v>1.2304539021744489</v>
      </c>
      <c r="I89" s="15">
        <f>L37</f>
        <v>0</v>
      </c>
      <c r="J89" s="15">
        <f>P37</f>
        <v>-21.480418254479421</v>
      </c>
      <c r="K89" s="15">
        <f>I37</f>
        <v>1.5166729979695495</v>
      </c>
      <c r="L89" s="15">
        <f>M37</f>
        <v>0</v>
      </c>
      <c r="M89" s="15">
        <f>Q37</f>
        <v>2.3760614097694162</v>
      </c>
      <c r="N89" s="15">
        <f>ABS(H38)</f>
        <v>33.898194734200558</v>
      </c>
      <c r="O89" s="15">
        <f>ABS(L38)</f>
        <v>0</v>
      </c>
      <c r="P89" s="15">
        <f>ABS(P38)</f>
        <v>14.176038182297546</v>
      </c>
      <c r="U89" t="str">
        <f t="shared" ref="U89:U96" si="16">_xlfn.CONCAT(U88,", ",H89)</f>
        <v>0.833080820338568, 1.23045390217445</v>
      </c>
      <c r="V89" t="str">
        <f t="shared" ref="V89:AC96" si="17">_xlfn.CONCAT(V88,", ",I89)</f>
        <v>No corrió , 0</v>
      </c>
      <c r="W89" t="str">
        <f t="shared" si="17"/>
        <v>-13.339344799724, -21.4804182544794</v>
      </c>
      <c r="X89" t="str">
        <f t="shared" si="17"/>
        <v>1.61292441100919, 1.51667299796955</v>
      </c>
      <c r="Y89" t="str">
        <f t="shared" si="17"/>
        <v>0, 0</v>
      </c>
      <c r="Z89" t="str">
        <f t="shared" si="17"/>
        <v>1.45350265178457, 2.37606140976942</v>
      </c>
      <c r="AA89" t="str">
        <f t="shared" si="17"/>
        <v>24.8673985489675, 33.8981947342006</v>
      </c>
      <c r="AB89" t="str">
        <f t="shared" si="17"/>
        <v>0, 0</v>
      </c>
      <c r="AC89" s="14" t="str">
        <f t="shared" si="17"/>
        <v>12.7358943843933, 14.1760381822975</v>
      </c>
    </row>
    <row r="90" spans="7:38" x14ac:dyDescent="0.25">
      <c r="G90" s="24" t="s">
        <v>108</v>
      </c>
      <c r="H90" s="15">
        <f>H39</f>
        <v>-60.989928811864324</v>
      </c>
      <c r="I90" s="15">
        <f>L39</f>
        <v>0</v>
      </c>
      <c r="J90" s="15">
        <f>P39</f>
        <v>-31.659407532459479</v>
      </c>
      <c r="K90" s="15">
        <f>I39</f>
        <v>7.9657855121370558</v>
      </c>
      <c r="L90" s="15">
        <f>M39</f>
        <v>0</v>
      </c>
      <c r="M90" s="15">
        <f>Q39</f>
        <v>3.4535417264536279</v>
      </c>
      <c r="N90" s="15">
        <f>ABS(H40)</f>
        <v>43.203512425157243</v>
      </c>
      <c r="O90" s="15">
        <f>ABS(L40)</f>
        <v>0</v>
      </c>
      <c r="P90" s="15">
        <f>ABS(P40)</f>
        <v>17.482251810277965</v>
      </c>
      <c r="U90" t="str">
        <f t="shared" si="16"/>
        <v>0.833080820338568, 1.23045390217445, -60.9899288118643</v>
      </c>
      <c r="V90" t="str">
        <f t="shared" si="17"/>
        <v>No corrió , 0, 0</v>
      </c>
      <c r="W90" t="str">
        <f t="shared" si="17"/>
        <v>-13.339344799724, -21.4804182544794, -31.6594075324595</v>
      </c>
      <c r="X90" t="str">
        <f t="shared" si="17"/>
        <v>1.61292441100919, 1.51667299796955, 7.96578551213706</v>
      </c>
      <c r="Y90" t="str">
        <f t="shared" si="17"/>
        <v>0, 0, 0</v>
      </c>
      <c r="Z90" t="str">
        <f t="shared" si="17"/>
        <v>1.45350265178457, 2.37606140976942, 3.45354172645363</v>
      </c>
      <c r="AA90" t="str">
        <f t="shared" si="17"/>
        <v>24.8673985489675, 33.8981947342006, 43.2035124251572</v>
      </c>
      <c r="AB90" t="str">
        <f t="shared" si="17"/>
        <v>0, 0, 0</v>
      </c>
      <c r="AC90" s="14" t="str">
        <f t="shared" si="17"/>
        <v>12.7358943843933, 14.1760381822975, 17.482251810278</v>
      </c>
    </row>
    <row r="91" spans="7:38" x14ac:dyDescent="0.25">
      <c r="G91" s="6" t="s">
        <v>109</v>
      </c>
      <c r="H91" s="15">
        <f>H43</f>
        <v>5.5552796299940974</v>
      </c>
      <c r="I91" s="15">
        <f>L43</f>
        <v>0</v>
      </c>
      <c r="J91" s="15">
        <f>P43</f>
        <v>1.3127178133557151</v>
      </c>
      <c r="K91" s="15">
        <f>I43</f>
        <v>1.1230878736886019</v>
      </c>
      <c r="L91" s="15">
        <f>M43</f>
        <v>0</v>
      </c>
      <c r="M91" s="15">
        <f>Q43</f>
        <v>0.50670909083277804</v>
      </c>
      <c r="N91" s="15">
        <f>ABS(H44)</f>
        <v>1.8785253263600119</v>
      </c>
      <c r="O91" s="15">
        <f>ABS(L44)</f>
        <v>0</v>
      </c>
      <c r="P91" s="15">
        <f>ABS(P44)</f>
        <v>2.1604820758066041</v>
      </c>
      <c r="U91" t="str">
        <f t="shared" si="16"/>
        <v>0.833080820338568, 1.23045390217445, -60.9899288118643, 5.5552796299941</v>
      </c>
      <c r="V91" t="str">
        <f t="shared" si="17"/>
        <v>No corrió , 0, 0, 0</v>
      </c>
      <c r="W91" t="str">
        <f t="shared" si="17"/>
        <v>-13.339344799724, -21.4804182544794, -31.6594075324595, 1.31271781335572</v>
      </c>
      <c r="X91" t="str">
        <f t="shared" si="17"/>
        <v>1.61292441100919, 1.51667299796955, 7.96578551213706, 1.1230878736886</v>
      </c>
      <c r="Y91" t="str">
        <f t="shared" si="17"/>
        <v>0, 0, 0, 0</v>
      </c>
      <c r="Z91" t="str">
        <f t="shared" si="17"/>
        <v>1.45350265178457, 2.37606140976942, 3.45354172645363, 0.506709090832778</v>
      </c>
      <c r="AA91" t="str">
        <f t="shared" si="17"/>
        <v>24.8673985489675, 33.8981947342006, 43.2035124251572, 1.87852532636001</v>
      </c>
      <c r="AB91" t="str">
        <f t="shared" si="17"/>
        <v>0, 0, 0, 0</v>
      </c>
      <c r="AC91" s="14" t="str">
        <f t="shared" si="17"/>
        <v>12.7358943843933, 14.1760381822975, 17.482251810278, 2.1604820758066</v>
      </c>
    </row>
    <row r="92" spans="7:38" x14ac:dyDescent="0.25">
      <c r="G92" s="6" t="s">
        <v>110</v>
      </c>
      <c r="H92" s="15">
        <f>H45</f>
        <v>8.154986734508169</v>
      </c>
      <c r="I92" s="15">
        <f>L45</f>
        <v>0</v>
      </c>
      <c r="J92" s="15">
        <f>P45</f>
        <v>6.4623897400410399</v>
      </c>
      <c r="K92" s="15">
        <f>I45</f>
        <v>1.2916567788165876</v>
      </c>
      <c r="L92" s="15">
        <f>M45</f>
        <v>0</v>
      </c>
      <c r="M92" s="15">
        <f>Q45</f>
        <v>0.86022777647593196</v>
      </c>
      <c r="N92" s="15">
        <f>ABS(H46)</f>
        <v>4.6460617778099875</v>
      </c>
      <c r="O92" s="15">
        <f>ABS(L46)</f>
        <v>0</v>
      </c>
      <c r="P92" s="15">
        <f>ABS(P46)</f>
        <v>2.925641714668326</v>
      </c>
      <c r="U92" t="str">
        <f t="shared" si="16"/>
        <v>0.833080820338568, 1.23045390217445, -60.9899288118643, 5.5552796299941, 8.15498673450817</v>
      </c>
      <c r="V92" t="str">
        <f t="shared" si="17"/>
        <v>No corrió , 0, 0, 0, 0</v>
      </c>
      <c r="W92" t="str">
        <f t="shared" si="17"/>
        <v>-13.339344799724, -21.4804182544794, -31.6594075324595, 1.31271781335572, 6.46238974004104</v>
      </c>
      <c r="X92" t="str">
        <f t="shared" si="17"/>
        <v>1.61292441100919, 1.51667299796955, 7.96578551213706, 1.1230878736886, 1.29165677881659</v>
      </c>
      <c r="Y92" t="str">
        <f t="shared" si="17"/>
        <v>0, 0, 0, 0, 0</v>
      </c>
      <c r="Z92" t="str">
        <f t="shared" si="17"/>
        <v>1.45350265178457, 2.37606140976942, 3.45354172645363, 0.506709090832778, 0.860227776475932</v>
      </c>
      <c r="AA92" t="str">
        <f t="shared" si="17"/>
        <v>24.8673985489675, 33.8981947342006, 43.2035124251572, 1.87852532636001, 4.64606177780999</v>
      </c>
      <c r="AB92" t="str">
        <f t="shared" si="17"/>
        <v>0, 0, 0, 0, 0</v>
      </c>
      <c r="AC92" s="14" t="str">
        <f t="shared" si="17"/>
        <v>12.7358943843933, 14.1760381822975, 17.482251810278, 2.1604820758066, 2.92564171466833</v>
      </c>
    </row>
    <row r="93" spans="7:38" x14ac:dyDescent="0.25">
      <c r="G93" s="6" t="s">
        <v>111</v>
      </c>
      <c r="H93" s="15">
        <f>H47</f>
        <v>5.8724799888516497</v>
      </c>
      <c r="I93" s="15">
        <f>L47</f>
        <v>0</v>
      </c>
      <c r="J93" s="15">
        <f>P47</f>
        <v>3.6036642448692255</v>
      </c>
      <c r="K93" s="15">
        <f>I47</f>
        <v>1.1422557680690613</v>
      </c>
      <c r="L93" s="15">
        <f>M47</f>
        <v>0</v>
      </c>
      <c r="M93" s="15">
        <f>Q47</f>
        <v>0.57617693284889504</v>
      </c>
      <c r="N93" s="15">
        <f>ABS(H48)</f>
        <v>1.5912346229324741</v>
      </c>
      <c r="O93" s="15">
        <f>ABS(L48)</f>
        <v>0</v>
      </c>
      <c r="P93" s="15">
        <f>ABS(P48)</f>
        <v>1.9159143212115402</v>
      </c>
      <c r="U93" t="str">
        <f t="shared" si="16"/>
        <v>0.833080820338568, 1.23045390217445, -60.9899288118643, 5.5552796299941, 8.15498673450817, 5.87247998885165</v>
      </c>
      <c r="V93" t="str">
        <f t="shared" si="17"/>
        <v>No corrió , 0, 0, 0, 0, 0</v>
      </c>
      <c r="W93" t="str">
        <f t="shared" si="17"/>
        <v>-13.339344799724, -21.4804182544794, -31.6594075324595, 1.31271781335572, 6.46238974004104, 3.60366424486923</v>
      </c>
      <c r="X93" t="str">
        <f t="shared" si="17"/>
        <v>1.61292441100919, 1.51667299796955, 7.96578551213706, 1.1230878736886, 1.29165677881659, 1.14225576806906</v>
      </c>
      <c r="Y93" t="str">
        <f t="shared" si="17"/>
        <v>0, 0, 0, 0, 0, 0</v>
      </c>
      <c r="Z93" t="str">
        <f t="shared" si="17"/>
        <v>1.45350265178457, 2.37606140976942, 3.45354172645363, 0.506709090832778, 0.860227776475932, 0.576176932848895</v>
      </c>
      <c r="AA93" t="str">
        <f t="shared" si="17"/>
        <v>24.8673985489675, 33.8981947342006, 43.2035124251572, 1.87852532636001, 4.64606177780999, 1.59123462293247</v>
      </c>
      <c r="AB93" t="str">
        <f t="shared" si="17"/>
        <v>0, 0, 0, 0, 0, 0</v>
      </c>
      <c r="AC93" s="14" t="str">
        <f t="shared" si="17"/>
        <v>12.7358943843933, 14.1760381822975, 17.482251810278, 2.1604820758066, 2.92564171466833, 1.91591432121154</v>
      </c>
    </row>
    <row r="94" spans="7:38" x14ac:dyDescent="0.25">
      <c r="G94" s="6" t="s">
        <v>58</v>
      </c>
      <c r="H94" s="15">
        <f>H49</f>
        <v>4.2461601262470801</v>
      </c>
      <c r="I94" s="15">
        <f>L49</f>
        <v>0</v>
      </c>
      <c r="J94" s="15">
        <f>P49</f>
        <v>2.5889936325155838</v>
      </c>
      <c r="K94" s="15">
        <f>I49</f>
        <v>0.8478020699106632</v>
      </c>
      <c r="L94" s="15">
        <f>M49</f>
        <v>0</v>
      </c>
      <c r="M94" s="15">
        <f>Q49</f>
        <v>0.47712788766599079</v>
      </c>
      <c r="N94" s="15">
        <f>ABS(H50)</f>
        <v>2.9377992783735478</v>
      </c>
      <c r="O94" s="15">
        <f>ABS(L50)</f>
        <v>0</v>
      </c>
      <c r="P94" s="15">
        <f>ABS(P50)</f>
        <v>2.8298618432124281</v>
      </c>
      <c r="U94" t="str">
        <f t="shared" si="16"/>
        <v>0.833080820338568, 1.23045390217445, -60.9899288118643, 5.5552796299941, 8.15498673450817, 5.87247998885165, 4.24616012624708</v>
      </c>
      <c r="V94" t="str">
        <f t="shared" si="17"/>
        <v>No corrió , 0, 0, 0, 0, 0, 0</v>
      </c>
      <c r="W94" t="str">
        <f t="shared" si="17"/>
        <v>-13.339344799724, -21.4804182544794, -31.6594075324595, 1.31271781335572, 6.46238974004104, 3.60366424486923, 2.58899363251558</v>
      </c>
      <c r="X94" t="str">
        <f t="shared" si="17"/>
        <v>1.61292441100919, 1.51667299796955, 7.96578551213706, 1.1230878736886, 1.29165677881659, 1.14225576806906, 0.847802069910663</v>
      </c>
      <c r="Y94" t="str">
        <f t="shared" si="17"/>
        <v>0, 0, 0, 0, 0, 0, 0</v>
      </c>
      <c r="Z94" t="str">
        <f t="shared" si="17"/>
        <v>1.45350265178457, 2.37606140976942, 3.45354172645363, 0.506709090832778, 0.860227776475932, 0.576176932848895, 0.477127887665991</v>
      </c>
      <c r="AA94" t="str">
        <f t="shared" si="17"/>
        <v>24.8673985489675, 33.8981947342006, 43.2035124251572, 1.87852532636001, 4.64606177780999, 1.59123462293247, 2.93779927837355</v>
      </c>
      <c r="AB94" t="str">
        <f t="shared" si="17"/>
        <v>0, 0, 0, 0, 0, 0, 0</v>
      </c>
      <c r="AC94" s="14" t="str">
        <f t="shared" si="17"/>
        <v>12.7358943843933, 14.1760381822975, 17.482251810278, 2.1604820758066, 2.92564171466833, 1.91591432121154, 2.82986184321243</v>
      </c>
    </row>
    <row r="95" spans="7:38" x14ac:dyDescent="0.25">
      <c r="G95" s="6" t="s">
        <v>61</v>
      </c>
      <c r="H95" s="15">
        <f>H51</f>
        <v>0.96841075339500748</v>
      </c>
      <c r="I95" s="15">
        <f>L51</f>
        <v>0</v>
      </c>
      <c r="J95" s="15">
        <f>P51</f>
        <v>-8.2620644853785615E-3</v>
      </c>
      <c r="K95" s="15">
        <f>I51</f>
        <v>0.66039827304299847</v>
      </c>
      <c r="L95" s="15">
        <f>M51</f>
        <v>0</v>
      </c>
      <c r="M95" s="15">
        <f>Q51</f>
        <v>0.45009977799167078</v>
      </c>
      <c r="N95" s="15">
        <f>ABS(H52)</f>
        <v>1.2774158747576752</v>
      </c>
      <c r="O95" s="15">
        <f>ABS(L52)</f>
        <v>0</v>
      </c>
      <c r="P95" s="15">
        <f>ABS(P52)</f>
        <v>4.6791929317409098</v>
      </c>
      <c r="U95" t="str">
        <f t="shared" si="16"/>
        <v>0.833080820338568, 1.23045390217445, -60.9899288118643, 5.5552796299941, 8.15498673450817, 5.87247998885165, 4.24616012624708, 0.968410753395007</v>
      </c>
      <c r="V95" t="str">
        <f t="shared" si="17"/>
        <v>No corrió , 0, 0, 0, 0, 0, 0, 0</v>
      </c>
      <c r="W95" t="str">
        <f t="shared" si="17"/>
        <v>-13.339344799724, -21.4804182544794, -31.6594075324595, 1.31271781335572, 6.46238974004104, 3.60366424486923, 2.58899363251558, -0.00826206448537856</v>
      </c>
      <c r="X95" t="str">
        <f t="shared" si="17"/>
        <v>1.61292441100919, 1.51667299796955, 7.96578551213706, 1.1230878736886, 1.29165677881659, 1.14225576806906, 0.847802069910663, 0.660398273042998</v>
      </c>
      <c r="Y95" t="str">
        <f t="shared" si="17"/>
        <v>0, 0, 0, 0, 0, 0, 0, 0</v>
      </c>
      <c r="Z95" t="str">
        <f t="shared" si="17"/>
        <v>1.45350265178457, 2.37606140976942, 3.45354172645363, 0.506709090832778, 0.860227776475932, 0.576176932848895, 0.477127887665991, 0.450099777991671</v>
      </c>
      <c r="AA95" t="str">
        <f t="shared" si="17"/>
        <v>24.8673985489675, 33.8981947342006, 43.2035124251572, 1.87852532636001, 4.64606177780999, 1.59123462293247, 2.93779927837355, 1.27741587475768</v>
      </c>
      <c r="AB95" t="str">
        <f t="shared" si="17"/>
        <v>0, 0, 0, 0, 0, 0, 0, 0</v>
      </c>
      <c r="AC95" s="14" t="str">
        <f t="shared" si="17"/>
        <v>12.7358943843933, 14.1760381822975, 17.482251810278, 2.1604820758066, 2.92564171466833, 1.91591432121154, 2.82986184321243, 4.67919293174091</v>
      </c>
    </row>
    <row r="96" spans="7:38" x14ac:dyDescent="0.25">
      <c r="G96" s="6" t="s">
        <v>112</v>
      </c>
      <c r="H96" s="15">
        <f>H53</f>
        <v>-0.45320692063383161</v>
      </c>
      <c r="I96" s="15">
        <f>L53</f>
        <v>0</v>
      </c>
      <c r="J96" s="15">
        <f>P53</f>
        <v>-1.1820179149674039</v>
      </c>
      <c r="K96" s="15">
        <f>I53</f>
        <v>0.62890354874239485</v>
      </c>
      <c r="L96" s="15">
        <f>M53</f>
        <v>0</v>
      </c>
      <c r="M96" s="15">
        <f>Q53</f>
        <v>0.41658809266036145</v>
      </c>
      <c r="N96" s="15">
        <f>ABS(H54)</f>
        <v>6.9412249798724401</v>
      </c>
      <c r="O96" s="15">
        <f>ABS(L54)</f>
        <v>0</v>
      </c>
      <c r="P96" s="15">
        <f>ABS(P54)</f>
        <v>3.6383674386192419</v>
      </c>
      <c r="U96" t="str">
        <f t="shared" si="16"/>
        <v>0.833080820338568, 1.23045390217445, -60.9899288118643, 5.5552796299941, 8.15498673450817, 5.87247998885165, 4.24616012624708, 0.968410753395007, -0.453206920633832</v>
      </c>
      <c r="V96" t="str">
        <f t="shared" si="17"/>
        <v>No corrió , 0, 0, 0, 0, 0, 0, 0, 0</v>
      </c>
      <c r="W96" t="str">
        <f t="shared" si="17"/>
        <v>-13.339344799724, -21.4804182544794, -31.6594075324595, 1.31271781335572, 6.46238974004104, 3.60366424486923, 2.58899363251558, -0.00826206448537856, -1.1820179149674</v>
      </c>
      <c r="X96" t="str">
        <f t="shared" si="17"/>
        <v>1.61292441100919, 1.51667299796955, 7.96578551213706, 1.1230878736886, 1.29165677881659, 1.14225576806906, 0.847802069910663, 0.660398273042998, 0.628903548742395</v>
      </c>
      <c r="Y96" t="str">
        <f t="shared" si="17"/>
        <v>0, 0, 0, 0, 0, 0, 0, 0, 0</v>
      </c>
      <c r="Z96" t="str">
        <f t="shared" si="17"/>
        <v>1.45350265178457, 2.37606140976942, 3.45354172645363, 0.506709090832778, 0.860227776475932, 0.576176932848895, 0.477127887665991, 0.450099777991671, 0.416588092660361</v>
      </c>
      <c r="AA96" t="str">
        <f t="shared" si="17"/>
        <v>24.8673985489675, 33.8981947342006, 43.2035124251572, 1.87852532636001, 4.64606177780999, 1.59123462293247, 2.93779927837355, 1.27741587475768, 6.94122497987244</v>
      </c>
      <c r="AB96" t="str">
        <f t="shared" si="17"/>
        <v>0, 0, 0, 0, 0, 0, 0, 0, 0</v>
      </c>
      <c r="AC96" s="14" t="str">
        <f t="shared" si="17"/>
        <v>12.7358943843933, 14.1760381822975, 17.482251810278, 2.1604820758066, 2.92564171466833, 1.91591432121154, 2.82986184321243, 4.67919293174091, 3.63836743861924</v>
      </c>
    </row>
    <row r="97" spans="7:29" x14ac:dyDescent="0.25">
      <c r="G97" s="6" t="s">
        <v>113</v>
      </c>
      <c r="H97" s="15">
        <f>H55</f>
        <v>1.033815665580549</v>
      </c>
      <c r="I97" s="15">
        <f>L55</f>
        <v>0</v>
      </c>
      <c r="J97" s="15">
        <f>P55</f>
        <v>-0.63063984990784305</v>
      </c>
      <c r="K97" s="15">
        <f>I55</f>
        <v>0.64966097297604042</v>
      </c>
      <c r="L97" s="15">
        <f>M55</f>
        <v>0</v>
      </c>
      <c r="M97" s="15">
        <f>Q55</f>
        <v>0.39859876919858739</v>
      </c>
      <c r="N97" s="15">
        <f>ABS(H56)</f>
        <v>9.950629646492299</v>
      </c>
      <c r="O97" s="15">
        <f>ABS(L56)</f>
        <v>0</v>
      </c>
      <c r="P97" s="15">
        <f>ABS(P56)</f>
        <v>3.6164821387740997</v>
      </c>
      <c r="U97" s="23" t="s">
        <v>194</v>
      </c>
      <c r="V97" s="23" t="s">
        <v>135</v>
      </c>
      <c r="W97" s="23" t="s">
        <v>195</v>
      </c>
      <c r="X97" s="44" t="s">
        <v>243</v>
      </c>
      <c r="Y97" s="44" t="s">
        <v>135</v>
      </c>
      <c r="Z97" s="44" t="s">
        <v>244</v>
      </c>
      <c r="AA97" s="40" t="s">
        <v>196</v>
      </c>
      <c r="AB97" s="40" t="s">
        <v>135</v>
      </c>
      <c r="AC97" s="41" t="s">
        <v>197</v>
      </c>
    </row>
    <row r="98" spans="7:29" x14ac:dyDescent="0.25">
      <c r="G98" s="6" t="s">
        <v>114</v>
      </c>
      <c r="H98" s="15">
        <f>H59</f>
        <v>-61.823009632202883</v>
      </c>
      <c r="I98" s="15">
        <f>L59</f>
        <v>0</v>
      </c>
      <c r="J98" s="15">
        <f>P59</f>
        <v>-18.320062732735508</v>
      </c>
      <c r="K98" s="15">
        <f>I59</f>
        <v>14.653803703667068</v>
      </c>
      <c r="L98" s="15">
        <f>M59</f>
        <v>0</v>
      </c>
      <c r="M98" s="15">
        <f>Q59</f>
        <v>3.1715580603837039</v>
      </c>
      <c r="N98" s="15"/>
      <c r="O98" s="15"/>
      <c r="P98" s="15"/>
      <c r="Q98" s="15"/>
      <c r="R98" s="15"/>
      <c r="S98" s="15"/>
      <c r="T98" s="15"/>
      <c r="AC98" s="14"/>
    </row>
    <row r="99" spans="7:29" x14ac:dyDescent="0.25">
      <c r="G99" s="6" t="s">
        <v>115</v>
      </c>
      <c r="H99" s="15">
        <f>H60</f>
        <v>-62.220382714038756</v>
      </c>
      <c r="I99" s="15">
        <f>L60</f>
        <v>0</v>
      </c>
      <c r="J99" s="15">
        <f>P60</f>
        <v>-10.178989277980047</v>
      </c>
      <c r="K99" s="15">
        <f>I60</f>
        <v>14.718035128333653</v>
      </c>
      <c r="L99" s="15">
        <f>M60</f>
        <v>0</v>
      </c>
      <c r="M99" s="15">
        <f>Q60</f>
        <v>1.864841221286424</v>
      </c>
      <c r="N99" s="15"/>
      <c r="O99" s="15"/>
      <c r="P99" s="15"/>
      <c r="AC99" s="14"/>
    </row>
    <row r="100" spans="7:29" ht="15.75" thickBot="1" x14ac:dyDescent="0.3">
      <c r="G100" s="8" t="s">
        <v>116</v>
      </c>
      <c r="H100" s="16">
        <f>H61</f>
        <v>-0.39737308183588105</v>
      </c>
      <c r="I100" s="16">
        <f>L61</f>
        <v>0</v>
      </c>
      <c r="J100" s="16">
        <f>P61</f>
        <v>8.1410734547554604</v>
      </c>
      <c r="K100" s="16">
        <f>I61</f>
        <v>2.0901334200249702</v>
      </c>
      <c r="L100" s="16">
        <f>M61</f>
        <v>0</v>
      </c>
      <c r="M100" s="16">
        <f>Q61</f>
        <v>1.6830103344172436</v>
      </c>
      <c r="N100" s="16"/>
      <c r="O100" s="16"/>
      <c r="P100" s="16"/>
      <c r="Q100" s="9"/>
      <c r="R100" s="16"/>
      <c r="S100" s="16"/>
      <c r="T100" s="9"/>
      <c r="U100" s="9"/>
      <c r="V100" s="9"/>
      <c r="W100" s="9"/>
      <c r="X100" s="9"/>
      <c r="Y100" s="9"/>
      <c r="Z100" s="9"/>
      <c r="AA100" s="9"/>
      <c r="AB100" s="9"/>
      <c r="AC100" s="17"/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7EE22-536C-4352-BA82-CBD014E52D3C}">
  <dimension ref="A1:AI100"/>
  <sheetViews>
    <sheetView zoomScale="66" zoomScaleNormal="51" workbookViewId="0">
      <pane xSplit="3" ySplit="2" topLeftCell="D31" activePane="bottomRight" state="frozen"/>
      <selection pane="topRight" activeCell="D1" sqref="D1"/>
      <selection pane="bottomLeft" activeCell="A3" sqref="A3"/>
      <selection pane="bottomRight" activeCell="K34" sqref="K34"/>
    </sheetView>
  </sheetViews>
  <sheetFormatPr defaultColWidth="11.42578125" defaultRowHeight="15" x14ac:dyDescent="0.25"/>
  <cols>
    <col min="2" max="2" width="5.42578125" customWidth="1"/>
    <col min="3" max="3" width="36.140625" customWidth="1"/>
    <col min="4" max="4" width="15.85546875" bestFit="1" customWidth="1"/>
  </cols>
  <sheetData>
    <row r="1" spans="1:31" x14ac:dyDescent="0.25">
      <c r="B1" t="s">
        <v>12</v>
      </c>
      <c r="D1" s="4" t="s">
        <v>14</v>
      </c>
      <c r="E1" s="1"/>
      <c r="H1" s="1" t="s">
        <v>136</v>
      </c>
      <c r="L1" s="1" t="s">
        <v>117</v>
      </c>
      <c r="P1" s="1" t="s">
        <v>17</v>
      </c>
      <c r="Y1" s="1"/>
      <c r="AE1" s="1"/>
    </row>
    <row r="2" spans="1:31" x14ac:dyDescent="0.25">
      <c r="A2" s="4"/>
      <c r="C2" t="s">
        <v>20</v>
      </c>
      <c r="D2" t="s">
        <v>21</v>
      </c>
      <c r="E2" t="s">
        <v>22</v>
      </c>
      <c r="F2" t="s">
        <v>23</v>
      </c>
      <c r="H2" t="s">
        <v>21</v>
      </c>
      <c r="I2" t="s">
        <v>22</v>
      </c>
      <c r="J2" t="s">
        <v>23</v>
      </c>
      <c r="L2" t="s">
        <v>21</v>
      </c>
      <c r="M2" t="s">
        <v>22</v>
      </c>
      <c r="N2" t="s">
        <v>23</v>
      </c>
      <c r="P2" t="s">
        <v>21</v>
      </c>
      <c r="Q2" t="s">
        <v>22</v>
      </c>
      <c r="R2" t="s">
        <v>23</v>
      </c>
    </row>
    <row r="3" spans="1:31" ht="33" customHeight="1" x14ac:dyDescent="0.25">
      <c r="A3" s="4" t="s">
        <v>148</v>
      </c>
      <c r="D3" s="10"/>
      <c r="P3" s="10"/>
    </row>
    <row r="4" spans="1:31" x14ac:dyDescent="0.25">
      <c r="A4" s="4"/>
      <c r="B4" s="3" t="s">
        <v>26</v>
      </c>
      <c r="C4" t="s">
        <v>75</v>
      </c>
      <c r="D4" s="30">
        <v>-1.6362193388148158</v>
      </c>
      <c r="E4" s="30">
        <v>1.4617279958523137</v>
      </c>
      <c r="F4" s="30">
        <v>-1.119373333108229</v>
      </c>
      <c r="G4" s="2" t="str">
        <f t="shared" ref="G4:G9" si="0">IF(ABS(F5)&gt;2.576,"***",IF(ABS(F5)&gt;1.96,"**",IF(ABS(F5)&gt;1.645,"*","")))</f>
        <v>***</v>
      </c>
      <c r="H4" s="35">
        <v>-5.7211243714078739</v>
      </c>
      <c r="I4" s="35">
        <v>47.86121271292464</v>
      </c>
      <c r="J4" s="35">
        <v>-0.1195357168595713</v>
      </c>
      <c r="K4" s="2" t="str">
        <f>IF(ABS(J4)&gt;2.576,"***",IF(ABS(J4)&gt;1.96,"**",IF(ABS(J4)&gt;1.645,"*","")))</f>
        <v/>
      </c>
      <c r="L4">
        <v>-15.569727286471988</v>
      </c>
      <c r="M4">
        <v>4.6780903940745162</v>
      </c>
      <c r="N4">
        <v>-7.5260765024463083</v>
      </c>
      <c r="O4" s="2" t="str">
        <f t="shared" ref="O4:O9" si="1">IF(ABS(N4)&gt;2.576,"***",IF(ABS(N4)&gt;1.96,"**",IF(ABS(N4)&gt;1.645,"*","")))</f>
        <v>***</v>
      </c>
      <c r="P4">
        <v>-23.682762509270677</v>
      </c>
      <c r="Q4">
        <v>4.6780903940745162</v>
      </c>
      <c r="R4">
        <v>-5.0624850129592076</v>
      </c>
      <c r="S4" s="2" t="str">
        <f t="shared" ref="S4:S9" si="2">IF(ABS(R4)&gt;2.576,"***",IF(ABS(R4)&gt;1.96,"**",IF(ABS(R4)&gt;1.645,"*","")))</f>
        <v>***</v>
      </c>
    </row>
    <row r="5" spans="1:31" x14ac:dyDescent="0.25">
      <c r="A5" s="4"/>
      <c r="C5" t="s">
        <v>76</v>
      </c>
      <c r="D5" s="30">
        <v>-25.666290095571842</v>
      </c>
      <c r="E5" s="30">
        <v>4.3865259093632218</v>
      </c>
      <c r="F5" s="30">
        <v>-5.8511657347756847</v>
      </c>
      <c r="G5" s="2" t="str">
        <f t="shared" si="0"/>
        <v/>
      </c>
      <c r="H5" s="35">
        <v>571.55703673399682</v>
      </c>
      <c r="I5" s="35">
        <v>6290.9431736056904</v>
      </c>
      <c r="J5" s="35">
        <v>9.0853950029627373E-2</v>
      </c>
      <c r="K5" s="2" t="str">
        <f t="shared" ref="K5:K30" si="3">IF(ABS(J5)&gt;2.576,"***",IF(ABS(J5)&gt;1.96,"**",IF(ABS(J5)&gt;1.645,"*","")))</f>
        <v/>
      </c>
      <c r="L5">
        <v>13.916091933662347</v>
      </c>
      <c r="M5">
        <v>12.734878648521136</v>
      </c>
      <c r="N5">
        <v>6.8541856147538143</v>
      </c>
      <c r="O5" s="2" t="str">
        <f t="shared" si="1"/>
        <v>***</v>
      </c>
      <c r="P5">
        <v>61.086476324652637</v>
      </c>
      <c r="Q5">
        <v>12.734878648521136</v>
      </c>
      <c r="R5">
        <v>4.79678511359403</v>
      </c>
      <c r="S5" s="2" t="str">
        <f t="shared" si="2"/>
        <v>***</v>
      </c>
    </row>
    <row r="6" spans="1:31" x14ac:dyDescent="0.25">
      <c r="A6" s="4"/>
      <c r="B6" s="3" t="s">
        <v>31</v>
      </c>
      <c r="C6" t="s">
        <v>77</v>
      </c>
      <c r="D6" s="30">
        <v>0.2011127941601448</v>
      </c>
      <c r="E6" s="30">
        <v>1.6718932719260526</v>
      </c>
      <c r="F6" s="30">
        <v>0.12029045007667211</v>
      </c>
      <c r="G6" s="2" t="str">
        <f t="shared" si="0"/>
        <v>***</v>
      </c>
      <c r="H6" s="35">
        <v>-112.75950485260212</v>
      </c>
      <c r="I6" s="35">
        <v>1226.1506620420898</v>
      </c>
      <c r="J6" s="35">
        <v>-9.1962193834163139E-2</v>
      </c>
      <c r="K6" s="2" t="str">
        <f t="shared" si="3"/>
        <v/>
      </c>
      <c r="L6">
        <v>-19.819342353509619</v>
      </c>
      <c r="M6">
        <v>2.9373561273702444</v>
      </c>
      <c r="N6">
        <v>-7.0367944354722889</v>
      </c>
      <c r="O6" s="2" t="str">
        <f t="shared" si="1"/>
        <v>***</v>
      </c>
      <c r="P6">
        <v>-13.036620940828048</v>
      </c>
      <c r="Q6">
        <v>2.9373561273702444</v>
      </c>
      <c r="R6">
        <v>-4.4382159927265867</v>
      </c>
      <c r="S6" s="2" t="str">
        <f t="shared" si="2"/>
        <v>***</v>
      </c>
    </row>
    <row r="7" spans="1:31" x14ac:dyDescent="0.25">
      <c r="A7" s="4"/>
      <c r="C7" t="s">
        <v>78</v>
      </c>
      <c r="D7" s="30">
        <v>-32.111424780322217</v>
      </c>
      <c r="E7" s="30">
        <v>5.5106787694119443</v>
      </c>
      <c r="F7" s="30">
        <v>-5.8271269518671103</v>
      </c>
      <c r="G7" s="2" t="str">
        <f t="shared" si="0"/>
        <v>***</v>
      </c>
      <c r="H7" s="35">
        <v>-515.93246500579016</v>
      </c>
      <c r="I7" s="35">
        <v>5672.5206681024392</v>
      </c>
      <c r="J7" s="35">
        <v>-9.0952945823003756E-2</v>
      </c>
      <c r="K7" s="2" t="str">
        <f t="shared" si="3"/>
        <v/>
      </c>
      <c r="L7">
        <v>17.475369108624253</v>
      </c>
      <c r="M7">
        <v>12.981860915905001</v>
      </c>
      <c r="N7">
        <v>6.7273299626902281</v>
      </c>
      <c r="O7" s="2" t="str">
        <f t="shared" si="1"/>
        <v>***</v>
      </c>
      <c r="P7">
        <v>-61.417610556388922</v>
      </c>
      <c r="Q7">
        <v>12.981860915905001</v>
      </c>
      <c r="R7">
        <v>-4.7310328584049026</v>
      </c>
      <c r="S7" s="2" t="str">
        <f t="shared" si="2"/>
        <v>***</v>
      </c>
    </row>
    <row r="8" spans="1:31" x14ac:dyDescent="0.25">
      <c r="A8" s="4"/>
      <c r="B8" s="3" t="s">
        <v>36</v>
      </c>
      <c r="C8" t="s">
        <v>79</v>
      </c>
      <c r="D8" s="30">
        <v>-51.235455707298087</v>
      </c>
      <c r="E8" s="30">
        <v>8.3544356451857116</v>
      </c>
      <c r="F8" s="30">
        <v>-6.1327249240136021</v>
      </c>
      <c r="G8" s="2" t="str">
        <f t="shared" si="0"/>
        <v>***</v>
      </c>
      <c r="H8" s="35">
        <v>-62.548929394455698</v>
      </c>
      <c r="I8" s="35">
        <v>680.05300552849906</v>
      </c>
      <c r="J8" s="35">
        <v>-9.1976550189416736E-2</v>
      </c>
      <c r="K8" s="2" t="str">
        <f t="shared" si="3"/>
        <v/>
      </c>
      <c r="L8">
        <v>-29.156329980948421</v>
      </c>
      <c r="M8">
        <v>5.0594732558539857</v>
      </c>
      <c r="N8">
        <v>-7.2223412542417149</v>
      </c>
      <c r="O8" s="2" t="str">
        <f t="shared" si="1"/>
        <v>***</v>
      </c>
      <c r="P8">
        <v>-20.14824252048858</v>
      </c>
      <c r="Q8">
        <v>5.0594732558539857</v>
      </c>
      <c r="R8">
        <v>-3.9822806647265829</v>
      </c>
      <c r="S8" s="2" t="str">
        <f t="shared" si="2"/>
        <v>***</v>
      </c>
    </row>
    <row r="9" spans="1:31" x14ac:dyDescent="0.25">
      <c r="A9" s="4"/>
      <c r="C9" t="s">
        <v>80</v>
      </c>
      <c r="D9" s="30">
        <v>29.565770875244702</v>
      </c>
      <c r="E9" s="30">
        <v>4.9493679180349419</v>
      </c>
      <c r="F9" s="30">
        <v>5.9736457998021004</v>
      </c>
      <c r="G9" s="2" t="str">
        <f t="shared" si="0"/>
        <v>***</v>
      </c>
      <c r="H9" s="35">
        <v>174.34969486485571</v>
      </c>
      <c r="I9" s="35">
        <v>1896.2930531461734</v>
      </c>
      <c r="J9" s="35">
        <v>9.1942379146297576E-2</v>
      </c>
      <c r="K9" s="2" t="str">
        <f t="shared" si="3"/>
        <v/>
      </c>
      <c r="L9">
        <v>-17.948937886908109</v>
      </c>
      <c r="M9">
        <v>12.603135857204023</v>
      </c>
      <c r="N9">
        <v>-6.8900015724458656</v>
      </c>
      <c r="O9" s="2" t="str">
        <f t="shared" si="1"/>
        <v>***</v>
      </c>
      <c r="P9">
        <v>-58.784313868132699</v>
      </c>
      <c r="Q9">
        <v>12.603135857204023</v>
      </c>
      <c r="R9">
        <v>-4.6642609057119113</v>
      </c>
      <c r="S9" s="2" t="str">
        <f t="shared" si="2"/>
        <v>***</v>
      </c>
    </row>
    <row r="10" spans="1:31" x14ac:dyDescent="0.25">
      <c r="A10" s="4"/>
      <c r="C10" t="s">
        <v>81</v>
      </c>
      <c r="D10" s="30">
        <v>22.336558182778621</v>
      </c>
      <c r="E10" s="30">
        <v>3.7886641452026582</v>
      </c>
      <c r="F10" s="30">
        <v>5.8956289939455253</v>
      </c>
      <c r="G10" s="2"/>
      <c r="H10" s="35">
        <v>-17.687800432881286</v>
      </c>
      <c r="I10" s="35">
        <v>219.2586536811466</v>
      </c>
      <c r="J10" s="35">
        <v>-8.0670934240996875E-2</v>
      </c>
      <c r="K10" s="2" t="str">
        <f t="shared" si="3"/>
        <v/>
      </c>
      <c r="L10">
        <v>28.977810371580439</v>
      </c>
      <c r="M10">
        <v>4.5455300358883317</v>
      </c>
      <c r="N10">
        <v>8.8642532882662142</v>
      </c>
      <c r="O10" s="2"/>
      <c r="P10">
        <v>20.226636833501701</v>
      </c>
      <c r="Q10">
        <v>4.5455300358883317</v>
      </c>
      <c r="R10">
        <v>4.4497862017864378</v>
      </c>
      <c r="S10" s="2"/>
    </row>
    <row r="11" spans="1:31" x14ac:dyDescent="0.25">
      <c r="A11" s="4"/>
      <c r="C11" t="s">
        <v>82</v>
      </c>
      <c r="D11" s="30">
        <v>-12.765632008737581</v>
      </c>
      <c r="E11" s="30">
        <v>1.3757690095602042</v>
      </c>
      <c r="F11" s="30">
        <v>-9.2789065024937614</v>
      </c>
      <c r="G11" s="2"/>
      <c r="H11" s="35">
        <v>42.426354184700443</v>
      </c>
      <c r="I11" s="35">
        <v>8.0660951819375644</v>
      </c>
      <c r="J11" s="35">
        <v>5.2598380291502052</v>
      </c>
      <c r="K11" s="2" t="str">
        <f t="shared" si="3"/>
        <v>***</v>
      </c>
      <c r="L11">
        <v>16.283044832167402</v>
      </c>
      <c r="M11">
        <v>1.8148544459713629</v>
      </c>
      <c r="N11">
        <v>9.5493783639541867</v>
      </c>
      <c r="O11" s="2"/>
      <c r="P11">
        <v>31.481045556277422</v>
      </c>
      <c r="Q11">
        <v>1.8148544459713629</v>
      </c>
      <c r="R11">
        <v>17.34631977024905</v>
      </c>
      <c r="S11" s="2"/>
    </row>
    <row r="12" spans="1:31" x14ac:dyDescent="0.25">
      <c r="B12" t="s">
        <v>46</v>
      </c>
      <c r="C12" t="s">
        <v>83</v>
      </c>
      <c r="D12" s="30">
        <v>5.1019595422656909</v>
      </c>
      <c r="E12" s="30">
        <v>1.2294298301700264</v>
      </c>
      <c r="F12" s="30">
        <v>4.1498582652416234</v>
      </c>
      <c r="G12" s="2" t="str">
        <f>IF(ABS(F13)&gt;2.576,"***",IF(ABS(F13)&gt;1.96,"**",IF(ABS(F13)&gt;1.645,"*","")))</f>
        <v/>
      </c>
      <c r="H12" s="35">
        <v>91.100467735285505</v>
      </c>
      <c r="I12" s="35">
        <v>1007.3533713223054</v>
      </c>
      <c r="J12" s="35">
        <v>9.0435462201017114E-2</v>
      </c>
      <c r="K12" s="2" t="str">
        <f t="shared" si="3"/>
        <v/>
      </c>
      <c r="L12">
        <v>1.8659772659234202</v>
      </c>
      <c r="M12">
        <v>2.5557997690690581</v>
      </c>
      <c r="N12">
        <v>2.7345803209012889</v>
      </c>
      <c r="O12" s="2" t="str">
        <f>IF(ABS(N12)&gt;2.576,"***",IF(ABS(N12)&gt;1.96,"**",IF(ABS(N12)&gt;1.645,"*","")))</f>
        <v>***</v>
      </c>
      <c r="P12">
        <v>11.439029418882994</v>
      </c>
      <c r="Q12">
        <v>2.5557997690690581</v>
      </c>
      <c r="R12">
        <v>4.4757142391673437</v>
      </c>
      <c r="S12" s="2" t="str">
        <f>IF(ABS(R12)&gt;2.576,"***",IF(ABS(R12)&gt;1.96,"**",IF(ABS(R12)&gt;1.645,"*","")))</f>
        <v>***</v>
      </c>
    </row>
    <row r="13" spans="1:31" x14ac:dyDescent="0.25">
      <c r="C13" t="s">
        <v>84</v>
      </c>
      <c r="D13" s="30">
        <v>-0.43953814858591123</v>
      </c>
      <c r="E13" s="30">
        <v>1.5145452182758945</v>
      </c>
      <c r="F13" s="30">
        <v>-0.29021130784478399</v>
      </c>
      <c r="G13" s="2"/>
      <c r="H13" s="35">
        <v>105.0928570968014</v>
      </c>
      <c r="I13" s="35">
        <v>1164.422231854275</v>
      </c>
      <c r="J13" s="35">
        <v>9.025322105835018E-2</v>
      </c>
      <c r="K13" s="2" t="str">
        <f t="shared" si="3"/>
        <v/>
      </c>
      <c r="L13">
        <v>-3.271602785499538</v>
      </c>
      <c r="M13">
        <v>1.2178957467336953</v>
      </c>
      <c r="N13">
        <v>-3.1373289492171579</v>
      </c>
      <c r="O13" s="2"/>
      <c r="P13">
        <v>-3.9553931377359639</v>
      </c>
      <c r="Q13">
        <v>1.2178957467336953</v>
      </c>
      <c r="R13">
        <v>-3.247727195323598</v>
      </c>
      <c r="S13" s="2"/>
    </row>
    <row r="14" spans="1:31" x14ac:dyDescent="0.25">
      <c r="B14" t="s">
        <v>51</v>
      </c>
      <c r="C14" t="s">
        <v>85</v>
      </c>
      <c r="D14" s="30">
        <v>5.0479387236940081</v>
      </c>
      <c r="E14" s="30">
        <v>1.3618237757375549</v>
      </c>
      <c r="F14" s="30">
        <v>3.7067488566647171</v>
      </c>
      <c r="G14" s="2" t="str">
        <f>IF(ABS(F15)&gt;2.576,"***",IF(ABS(F15)&gt;1.96,"**",IF(ABS(F15)&gt;1.645,"*","")))</f>
        <v>***</v>
      </c>
      <c r="H14" s="35">
        <v>106.36625651455874</v>
      </c>
      <c r="I14" s="35">
        <v>1170.6601933411575</v>
      </c>
      <c r="J14" s="35">
        <v>9.0860060946448495E-2</v>
      </c>
      <c r="K14" s="2" t="str">
        <f t="shared" si="3"/>
        <v/>
      </c>
      <c r="L14">
        <v>6.7567011583504719</v>
      </c>
      <c r="M14">
        <v>4.9174155817756233</v>
      </c>
      <c r="N14">
        <v>6.1767718718808533</v>
      </c>
      <c r="O14" s="2" t="str">
        <f>IF(ABS(N14)&gt;2.576,"***",IF(ABS(N14)&gt;1.96,"**",IF(ABS(N14)&gt;1.645,"*","")))</f>
        <v>***</v>
      </c>
      <c r="P14">
        <v>22.752698472718983</v>
      </c>
      <c r="Q14">
        <v>4.9174155817756233</v>
      </c>
      <c r="R14">
        <v>4.626962699073573</v>
      </c>
      <c r="S14" s="2" t="str">
        <f>IF(ABS(R14)&gt;2.576,"***",IF(ABS(R14)&gt;1.96,"**",IF(ABS(R14)&gt;1.645,"*","")))</f>
        <v>***</v>
      </c>
    </row>
    <row r="15" spans="1:31" x14ac:dyDescent="0.25">
      <c r="C15" t="s">
        <v>86</v>
      </c>
      <c r="D15" s="30">
        <v>-15.047223053179428</v>
      </c>
      <c r="E15" s="30">
        <v>2.5721484059382482</v>
      </c>
      <c r="F15" s="30">
        <v>-5.8500602136487601</v>
      </c>
      <c r="G15" s="2"/>
      <c r="H15" s="35">
        <v>-82.630412850784992</v>
      </c>
      <c r="I15" s="35">
        <v>905.01110940339345</v>
      </c>
      <c r="J15" s="35">
        <v>-9.1303202791905042E-2</v>
      </c>
      <c r="K15" s="2" t="str">
        <f t="shared" si="3"/>
        <v/>
      </c>
      <c r="L15">
        <v>6.637554133698286</v>
      </c>
      <c r="M15">
        <v>4.3964136978028243</v>
      </c>
      <c r="N15">
        <v>6.5204275564417813</v>
      </c>
      <c r="O15" s="2"/>
      <c r="P15">
        <v>-20.181394902127661</v>
      </c>
      <c r="Q15">
        <v>4.3964136978028243</v>
      </c>
      <c r="R15">
        <v>-4.5904221689177316</v>
      </c>
      <c r="S15" s="2"/>
    </row>
    <row r="16" spans="1:31" x14ac:dyDescent="0.25">
      <c r="B16" t="s">
        <v>55</v>
      </c>
      <c r="C16" t="s">
        <v>87</v>
      </c>
      <c r="D16" s="30">
        <v>8.1121139282282737</v>
      </c>
      <c r="E16" s="30">
        <v>1.7512339315364136</v>
      </c>
      <c r="F16" s="30">
        <v>4.6322274723807206</v>
      </c>
      <c r="G16" s="2" t="str">
        <f>IF(ABS(F17)&gt;2.576,"***",IF(ABS(F17)&gt;1.96,"**",IF(ABS(F17)&gt;1.645,"*","")))</f>
        <v>***</v>
      </c>
      <c r="H16" s="35">
        <v>61.764174704344342</v>
      </c>
      <c r="I16" s="35">
        <v>682.64797329597241</v>
      </c>
      <c r="J16" s="35">
        <v>9.0477342818632428E-2</v>
      </c>
      <c r="K16" s="2" t="str">
        <f t="shared" si="3"/>
        <v/>
      </c>
      <c r="L16">
        <v>4.1803202449995744</v>
      </c>
      <c r="M16">
        <v>2.8683316626229161</v>
      </c>
      <c r="N16">
        <v>5.0840247020508453</v>
      </c>
      <c r="O16" s="2" t="str">
        <f>IF(ABS(N16)&gt;2.576,"***",IF(ABS(N16)&gt;1.96,"**",IF(ABS(N16)&gt;1.645,"*","")))</f>
        <v>***</v>
      </c>
      <c r="P16">
        <v>13.429712430457815</v>
      </c>
      <c r="Q16">
        <v>2.8683316626229161</v>
      </c>
      <c r="R16">
        <v>4.6820640044733022</v>
      </c>
      <c r="S16" s="2" t="str">
        <f>IF(ABS(R16)&gt;2.576,"***",IF(ABS(R16)&gt;1.96,"**",IF(ABS(R16)&gt;1.645,"*","")))</f>
        <v>***</v>
      </c>
    </row>
    <row r="17" spans="2:19" x14ac:dyDescent="0.25">
      <c r="C17" t="s">
        <v>88</v>
      </c>
      <c r="D17" s="30">
        <v>-7.2632880096514114</v>
      </c>
      <c r="E17" s="30">
        <v>1.8665624159167109</v>
      </c>
      <c r="F17" s="30">
        <v>-3.891264469762854</v>
      </c>
      <c r="G17" s="2"/>
      <c r="H17" s="35">
        <v>-111.14809885872917</v>
      </c>
      <c r="I17" s="35">
        <v>1209.4962253757349</v>
      </c>
      <c r="J17" s="35">
        <v>-9.1896193247069102E-2</v>
      </c>
      <c r="K17" s="2" t="str">
        <f t="shared" si="3"/>
        <v/>
      </c>
      <c r="L17">
        <v>4.1250065582129061</v>
      </c>
      <c r="M17">
        <v>1.0114298997005353</v>
      </c>
      <c r="N17">
        <v>3.5189515554152311</v>
      </c>
      <c r="O17" s="2"/>
      <c r="P17">
        <v>-4.3186234551363825</v>
      </c>
      <c r="Q17">
        <v>1.0114298997005353</v>
      </c>
      <c r="R17">
        <v>-4.2698198425961538</v>
      </c>
      <c r="S17" s="2"/>
    </row>
    <row r="18" spans="2:19" x14ac:dyDescent="0.25">
      <c r="B18" t="s">
        <v>58</v>
      </c>
      <c r="C18" t="s">
        <v>89</v>
      </c>
      <c r="D18" s="30">
        <v>5.3111631621080999</v>
      </c>
      <c r="E18" s="30">
        <v>1.2661279435837716</v>
      </c>
      <c r="F18" s="30">
        <v>4.1948076330065556</v>
      </c>
      <c r="G18" s="2" t="str">
        <f>IF(ABS(F19)&gt;2.576,"***",IF(ABS(F19)&gt;1.96,"**",IF(ABS(F19)&gt;1.645,"*","")))</f>
        <v>***</v>
      </c>
      <c r="H18" s="35">
        <v>83.835239196717183</v>
      </c>
      <c r="I18" s="35">
        <v>913.32698785235368</v>
      </c>
      <c r="J18" s="35">
        <v>9.1791045607720306E-2</v>
      </c>
      <c r="K18" s="2" t="str">
        <f t="shared" si="3"/>
        <v/>
      </c>
      <c r="L18">
        <v>2.769606289151354</v>
      </c>
      <c r="M18">
        <v>2.6065226032379538</v>
      </c>
      <c r="N18">
        <v>4.3284151698237743</v>
      </c>
      <c r="O18" s="2" t="str">
        <f>IF(ABS(N18)&gt;2.576,"***",IF(ABS(N18)&gt;1.96,"**",IF(ABS(N18)&gt;1.645,"*","")))</f>
        <v>***</v>
      </c>
      <c r="P18">
        <v>12.151201430994099</v>
      </c>
      <c r="Q18">
        <v>2.6065226032379538</v>
      </c>
      <c r="R18">
        <v>4.6618438742481114</v>
      </c>
      <c r="S18" s="2" t="str">
        <f>IF(ABS(R18)&gt;2.576,"***",IF(ABS(R18)&gt;1.96,"**",IF(ABS(R18)&gt;1.645,"*","")))</f>
        <v>***</v>
      </c>
    </row>
    <row r="19" spans="2:19" x14ac:dyDescent="0.25">
      <c r="C19" t="s">
        <v>90</v>
      </c>
      <c r="D19" s="30">
        <v>8.2883704384404044</v>
      </c>
      <c r="E19" s="30">
        <v>1.6577590179344757</v>
      </c>
      <c r="F19" s="30">
        <v>4.9997438401918606</v>
      </c>
      <c r="G19" s="2"/>
      <c r="H19" s="35">
        <v>216.73503792366901</v>
      </c>
      <c r="I19" s="35">
        <v>2386.117872940602</v>
      </c>
      <c r="J19" s="35">
        <v>9.0831656047473189E-2</v>
      </c>
      <c r="K19" s="2" t="str">
        <f t="shared" si="3"/>
        <v/>
      </c>
      <c r="L19">
        <v>3.9117429527887944</v>
      </c>
      <c r="M19">
        <v>2.106362182969546</v>
      </c>
      <c r="N19">
        <v>4.8104884852841518</v>
      </c>
      <c r="O19" s="2"/>
      <c r="P19">
        <v>9.2420379500592222</v>
      </c>
      <c r="Q19">
        <v>2.106362182969546</v>
      </c>
      <c r="R19">
        <v>4.3876774966733478</v>
      </c>
      <c r="S19" s="2"/>
    </row>
    <row r="20" spans="2:19" x14ac:dyDescent="0.25">
      <c r="B20" t="s">
        <v>61</v>
      </c>
      <c r="C20" t="s">
        <v>91</v>
      </c>
      <c r="D20" s="30">
        <v>1.6200486768202889</v>
      </c>
      <c r="E20" s="30">
        <v>0.84838940435991106</v>
      </c>
      <c r="F20" s="30">
        <v>1.9095578852055279</v>
      </c>
      <c r="G20" s="2" t="str">
        <f>IF(ABS(F21)&gt;2.576,"***",IF(ABS(F21)&gt;1.96,"**",IF(ABS(F21)&gt;1.645,"*","")))</f>
        <v>***</v>
      </c>
      <c r="H20" s="35">
        <v>13.56776455033091</v>
      </c>
      <c r="I20" s="35">
        <v>156.10134879961169</v>
      </c>
      <c r="J20" s="35">
        <v>8.6916382559563493E-2</v>
      </c>
      <c r="K20" s="2" t="str">
        <f t="shared" si="3"/>
        <v/>
      </c>
      <c r="L20">
        <v>0.28053573689201899</v>
      </c>
      <c r="M20">
        <v>1.021855750807602</v>
      </c>
      <c r="N20">
        <v>0.53438232637585037</v>
      </c>
      <c r="O20" s="2" t="str">
        <f>IF(ABS(N20)&gt;2.576,"***",IF(ABS(N20)&gt;1.96,"**",IF(ABS(N20)&gt;1.645,"*","")))</f>
        <v/>
      </c>
      <c r="P20">
        <v>3.5258894236341858</v>
      </c>
      <c r="Q20">
        <v>1.021855750807602</v>
      </c>
      <c r="R20">
        <v>3.4504766654663079</v>
      </c>
      <c r="S20" s="2" t="str">
        <f>IF(ABS(R20)&gt;2.576,"***",IF(ABS(R20)&gt;1.96,"**",IF(ABS(R20)&gt;1.645,"*","")))</f>
        <v>***</v>
      </c>
    </row>
    <row r="21" spans="2:19" x14ac:dyDescent="0.25">
      <c r="C21" t="s">
        <v>92</v>
      </c>
      <c r="D21" s="30">
        <v>-4.3512164156399544</v>
      </c>
      <c r="E21" s="30">
        <v>1.1781010982108726</v>
      </c>
      <c r="F21" s="30">
        <v>-3.6934151256186292</v>
      </c>
      <c r="G21" s="2"/>
      <c r="H21" s="35">
        <v>165.1568303576889</v>
      </c>
      <c r="I21" s="35">
        <v>1819.8776685233165</v>
      </c>
      <c r="J21" s="35">
        <v>9.0751611063891083E-2</v>
      </c>
      <c r="K21" s="2" t="str">
        <f t="shared" si="3"/>
        <v/>
      </c>
      <c r="L21">
        <v>4.1626882771767084</v>
      </c>
      <c r="M21">
        <v>2.2818361757405361</v>
      </c>
      <c r="N21">
        <v>5.0355096048407404</v>
      </c>
      <c r="O21" s="2"/>
      <c r="P21">
        <v>-9.8894158130094052</v>
      </c>
      <c r="Q21">
        <v>2.2818361757405361</v>
      </c>
      <c r="R21">
        <v>-4.3339727532367398</v>
      </c>
      <c r="S21" s="2"/>
    </row>
    <row r="22" spans="2:19" x14ac:dyDescent="0.25">
      <c r="B22" t="s">
        <v>64</v>
      </c>
      <c r="C22" t="s">
        <v>138</v>
      </c>
      <c r="D22" s="30">
        <v>-2.2269971866779281</v>
      </c>
      <c r="E22" s="30">
        <v>0.86132176332943344</v>
      </c>
      <c r="F22" s="30">
        <v>-2.5855577804855252</v>
      </c>
      <c r="G22" s="2" t="str">
        <f>IF(ABS(F23)&gt;2.576,"***",IF(ABS(F23)&gt;1.96,"**",IF(ABS(F23)&gt;1.645,"*","")))</f>
        <v>***</v>
      </c>
      <c r="H22" s="35">
        <v>-36.831088059715157</v>
      </c>
      <c r="I22" s="35">
        <v>404.77181797160279</v>
      </c>
      <c r="J22" s="35">
        <v>-9.099222432105955E-2</v>
      </c>
      <c r="K22" s="2" t="str">
        <f t="shared" si="3"/>
        <v/>
      </c>
      <c r="L22">
        <v>-2.7566510086231419</v>
      </c>
      <c r="M22">
        <v>0.70159226024212706</v>
      </c>
      <c r="N22">
        <v>-4.474175740416487</v>
      </c>
      <c r="O22" s="2" t="str">
        <f>IF(ABS(N22)&gt;2.576,"***",IF(ABS(N22)&gt;1.96,"**",IF(ABS(N22)&gt;1.645,"*","")))</f>
        <v>***</v>
      </c>
      <c r="P22">
        <v>-0.9184014080519044</v>
      </c>
      <c r="Q22">
        <v>0.70159226024212706</v>
      </c>
      <c r="R22">
        <v>-1.3090244292816939</v>
      </c>
      <c r="S22" s="2" t="str">
        <f>IF(ABS(R22)&gt;2.576,"***",IF(ABS(R22)&gt;1.96,"**",IF(ABS(R22)&gt;1.645,"*","")))</f>
        <v/>
      </c>
    </row>
    <row r="23" spans="2:19" x14ac:dyDescent="0.25">
      <c r="C23" t="s">
        <v>139</v>
      </c>
      <c r="D23" s="30">
        <v>-7.8943718127870675</v>
      </c>
      <c r="E23" s="30">
        <v>1.6335251868365008</v>
      </c>
      <c r="F23" s="30">
        <v>-4.8327212071185617</v>
      </c>
      <c r="G23" s="2"/>
      <c r="H23" s="35">
        <v>68.184242368516962</v>
      </c>
      <c r="I23" s="35">
        <v>745.76076497432564</v>
      </c>
      <c r="J23" s="35">
        <v>9.1429109133764036E-2</v>
      </c>
      <c r="K23" s="2" t="str">
        <f t="shared" si="3"/>
        <v/>
      </c>
      <c r="L23">
        <v>5.1227659671810555</v>
      </c>
      <c r="M23">
        <v>0.71650730276719332</v>
      </c>
      <c r="N23">
        <v>5.7606254344233543</v>
      </c>
      <c r="O23" s="2"/>
      <c r="P23">
        <v>-0.16936310514724667</v>
      </c>
      <c r="Q23">
        <v>0.71650730276719332</v>
      </c>
      <c r="R23">
        <v>-0.23637317371805761</v>
      </c>
      <c r="S23" s="2"/>
    </row>
    <row r="24" spans="2:19" x14ac:dyDescent="0.25">
      <c r="B24" t="s">
        <v>67</v>
      </c>
      <c r="C24" t="s">
        <v>140</v>
      </c>
      <c r="D24" s="30">
        <v>-3.7249042450398679</v>
      </c>
      <c r="E24" s="30">
        <v>1.0384151244531723</v>
      </c>
      <c r="F24" s="30">
        <v>-3.5871051541178161</v>
      </c>
      <c r="G24" s="2" t="str">
        <f>IF(ABS(F25)&gt;2.576,"***",IF(ABS(F25)&gt;1.96,"**",IF(ABS(F25)&gt;1.645,"*","")))</f>
        <v>***</v>
      </c>
      <c r="H24" s="35">
        <v>-47.709274633612722</v>
      </c>
      <c r="I24" s="35">
        <v>531.81709366602922</v>
      </c>
      <c r="J24" s="35">
        <v>-8.9709930729630169E-2</v>
      </c>
      <c r="K24" s="2" t="str">
        <f t="shared" si="3"/>
        <v/>
      </c>
      <c r="L24">
        <v>-3.6025967653112181</v>
      </c>
      <c r="M24">
        <v>0.91880889836342838</v>
      </c>
      <c r="N24">
        <v>-4.9325258195994479</v>
      </c>
      <c r="O24" s="2" t="str">
        <f>IF(ABS(N24)&gt;2.576,"***",IF(ABS(N24)&gt;1.96,"**",IF(ABS(N24)&gt;1.645,"*","")))</f>
        <v>***</v>
      </c>
      <c r="P24">
        <v>-2.7674651979326996</v>
      </c>
      <c r="Q24">
        <v>0.91880889836342838</v>
      </c>
      <c r="R24">
        <v>-3.0120139267937831</v>
      </c>
      <c r="S24" s="2" t="str">
        <f>IF(ABS(R24)&gt;2.576,"***",IF(ABS(R24)&gt;1.96,"**",IF(ABS(R24)&gt;1.645,"*","")))</f>
        <v>***</v>
      </c>
    </row>
    <row r="25" spans="2:19" x14ac:dyDescent="0.25">
      <c r="C25" t="s">
        <v>141</v>
      </c>
      <c r="D25" s="30">
        <v>13.922745017511433</v>
      </c>
      <c r="E25" s="30">
        <v>2.3549064485876299</v>
      </c>
      <c r="F25" s="30">
        <v>5.9122284988695339</v>
      </c>
      <c r="H25" s="35">
        <v>108.35555548938643</v>
      </c>
      <c r="I25" s="35">
        <v>1200.4121840862626</v>
      </c>
      <c r="J25" s="35">
        <v>9.026529131063861E-2</v>
      </c>
      <c r="K25" s="2" t="str">
        <f t="shared" si="3"/>
        <v/>
      </c>
      <c r="L25">
        <v>6.2066302062840597</v>
      </c>
      <c r="M25">
        <v>1.1341478724945599</v>
      </c>
      <c r="N25">
        <v>6.4762110052286079</v>
      </c>
      <c r="P25">
        <v>-4.736045966917664</v>
      </c>
      <c r="Q25">
        <v>1.1341478724945599</v>
      </c>
      <c r="R25">
        <v>-4.1758628497893531</v>
      </c>
    </row>
    <row r="26" spans="2:19" x14ac:dyDescent="0.25">
      <c r="B26" t="s">
        <v>70</v>
      </c>
      <c r="C26" t="s">
        <v>71</v>
      </c>
      <c r="D26" s="30">
        <v>14.295615379160818</v>
      </c>
      <c r="E26" s="30">
        <v>1.5983398220098453</v>
      </c>
      <c r="F26" s="30">
        <v>8.9440400484952445</v>
      </c>
      <c r="H26" s="35">
        <v>47.029357160371703</v>
      </c>
      <c r="I26" s="35">
        <v>24.51269765466688</v>
      </c>
      <c r="J26" s="35">
        <v>1.9185712573506959</v>
      </c>
      <c r="K26" s="2" t="str">
        <f t="shared" si="3"/>
        <v>*</v>
      </c>
      <c r="L26">
        <v>16.665018639517658</v>
      </c>
      <c r="M26">
        <v>1.9429319069819506</v>
      </c>
      <c r="N26">
        <v>8.288608475905427</v>
      </c>
      <c r="P26">
        <v>13.250725999237474</v>
      </c>
      <c r="Q26">
        <v>1.9429319069819506</v>
      </c>
      <c r="R26">
        <v>6.8199641745656763</v>
      </c>
    </row>
    <row r="27" spans="2:19" x14ac:dyDescent="0.25">
      <c r="B27" t="s">
        <v>72</v>
      </c>
      <c r="C27" t="s">
        <v>73</v>
      </c>
      <c r="D27" s="30">
        <v>17.31951552028006</v>
      </c>
      <c r="E27" s="30">
        <v>2.0006477357909782</v>
      </c>
      <c r="F27" s="30">
        <v>8.6569540506503042</v>
      </c>
      <c r="G27" s="2" t="str">
        <f>IF(ABS(F27)&gt;2.576,"***",IF(ABS(F27)&gt;1.96,"**",IF(ABS(F27)&gt;1.645,"*","")))</f>
        <v>***</v>
      </c>
      <c r="H27" s="35">
        <v>-2.6525133768401439</v>
      </c>
      <c r="I27" s="35">
        <v>1.7415654348099061</v>
      </c>
      <c r="J27" s="35">
        <v>-1.523062713477469</v>
      </c>
      <c r="K27" s="2" t="str">
        <f t="shared" si="3"/>
        <v/>
      </c>
      <c r="L27">
        <v>13.0257673182346</v>
      </c>
      <c r="M27">
        <v>2.5603677794356123</v>
      </c>
      <c r="N27">
        <v>6.7755251047687599</v>
      </c>
      <c r="O27" s="2" t="str">
        <f>IF(ABS(N27)&gt;2.576,"***",IF(ABS(N27)&gt;1.96,"**",IF(ABS(N27)&gt;1.645,"*","")))</f>
        <v>***</v>
      </c>
      <c r="P27">
        <v>16.384263049436111</v>
      </c>
      <c r="Q27">
        <v>2.5603677794356123</v>
      </c>
      <c r="R27">
        <v>6.3991834224096227</v>
      </c>
      <c r="S27" s="2" t="str">
        <f>IF(ABS(R27)&gt;2.576,"***",IF(ABS(R27)&gt;1.96,"**",IF(ABS(R27)&gt;1.645,"*","")))</f>
        <v>***</v>
      </c>
    </row>
    <row r="28" spans="2:19" x14ac:dyDescent="0.25">
      <c r="B28" t="s">
        <v>93</v>
      </c>
      <c r="C28" t="s">
        <v>142</v>
      </c>
      <c r="D28" s="30">
        <v>-49.599236368483261</v>
      </c>
      <c r="E28" s="30">
        <v>10.759055479764466</v>
      </c>
      <c r="F28" s="30">
        <v>-4.6099991269465113</v>
      </c>
      <c r="G28" s="2" t="str">
        <f>IF(ABS(F28)&gt;2.576,"***",IF(ABS(F28)&gt;1.96,"**",IF(ABS(F28)&gt;1.645,"*","")))</f>
        <v>***</v>
      </c>
      <c r="H28" s="35">
        <v>-56.827805023047816</v>
      </c>
      <c r="I28" s="35">
        <v>114.93833143437313</v>
      </c>
      <c r="J28" s="35">
        <v>-0.49441995819727952</v>
      </c>
      <c r="K28" s="2" t="str">
        <f t="shared" si="3"/>
        <v/>
      </c>
      <c r="L28">
        <v>-13.586602694476431</v>
      </c>
      <c r="M28">
        <v>1.8881815724334683</v>
      </c>
      <c r="N28">
        <v>-5.0270396708206544</v>
      </c>
      <c r="O28" s="2" t="str">
        <f>IF(ABS(N28)&gt;2.576,"***",IF(ABS(N28)&gt;1.96,"**",IF(ABS(N28)&gt;1.645,"*","")))</f>
        <v>***</v>
      </c>
      <c r="P28">
        <v>3.5345199887820922</v>
      </c>
      <c r="Q28">
        <v>1.8881815724334683</v>
      </c>
      <c r="R28">
        <v>1.8719174259426969</v>
      </c>
      <c r="S28" s="2" t="str">
        <f>IF(ABS(R28)&gt;2.576,"***",IF(ABS(R28)&gt;1.96,"**",IF(ABS(R28)&gt;1.645,"*","")))</f>
        <v>*</v>
      </c>
    </row>
    <row r="29" spans="2:19" x14ac:dyDescent="0.25">
      <c r="B29" t="s">
        <v>94</v>
      </c>
      <c r="C29" t="s">
        <v>143</v>
      </c>
      <c r="D29" s="30">
        <v>-51.436568501458225</v>
      </c>
      <c r="E29" s="30">
        <v>10.883477286888903</v>
      </c>
      <c r="F29" s="30">
        <v>-4.7261152980419938</v>
      </c>
      <c r="G29" s="2" t="str">
        <f>IF(ABS(F29)&gt;2.576,"***",IF(ABS(F29)&gt;1.96,"**",IF(ABS(F29)&gt;1.645,"*","")))</f>
        <v>***</v>
      </c>
      <c r="H29" s="35">
        <v>50.210575458146437</v>
      </c>
      <c r="I29" s="35">
        <v>76.367177861424707</v>
      </c>
      <c r="J29" s="35">
        <v>0.65748894831832283</v>
      </c>
      <c r="K29" s="2" t="str">
        <f t="shared" si="3"/>
        <v/>
      </c>
      <c r="L29">
        <v>-9.336987627438802</v>
      </c>
      <c r="M29">
        <v>2.405560329841252</v>
      </c>
      <c r="N29">
        <v>-4.3378313189446498</v>
      </c>
      <c r="O29" s="2" t="str">
        <f>IF(ABS(N29)&gt;2.576,"***",IF(ABS(N29)&gt;1.96,"**",IF(ABS(N29)&gt;1.645,"*","")))</f>
        <v>***</v>
      </c>
      <c r="P29">
        <v>-7.1116215796605342</v>
      </c>
      <c r="Q29">
        <v>2.405560329841252</v>
      </c>
      <c r="R29">
        <v>-2.9563264289987048</v>
      </c>
      <c r="S29" s="2" t="str">
        <f>IF(ABS(R29)&gt;2.576,"***",IF(ABS(R29)&gt;1.96,"**",IF(ABS(R29)&gt;1.645,"*","")))</f>
        <v>***</v>
      </c>
    </row>
    <row r="30" spans="2:19" x14ac:dyDescent="0.25">
      <c r="B30" t="s">
        <v>95</v>
      </c>
      <c r="C30" t="s">
        <v>144</v>
      </c>
      <c r="D30" s="30">
        <v>-1.8373321329749606</v>
      </c>
      <c r="E30" s="30">
        <v>2.4870942733608863</v>
      </c>
      <c r="F30" s="30">
        <v>-0.7387464772262603</v>
      </c>
      <c r="G30" s="2"/>
      <c r="H30" s="35">
        <v>107.03838048119424</v>
      </c>
      <c r="I30" s="35">
        <v>116.8643409844708</v>
      </c>
      <c r="J30" s="35">
        <v>0.91591994255474174</v>
      </c>
      <c r="K30" s="2" t="str">
        <f t="shared" si="3"/>
        <v/>
      </c>
      <c r="L30">
        <v>4.2496150670376283</v>
      </c>
      <c r="M30">
        <v>2.1716119161183038</v>
      </c>
      <c r="N30">
        <v>3.982876520998615</v>
      </c>
      <c r="O30" s="2" t="str">
        <f>IF(ABS(N30)&gt;2.576,"***",IF(ABS(N30)&gt;1.96,"**",IF(ABS(N30)&gt;1.645,"*","")))</f>
        <v>***</v>
      </c>
      <c r="P30">
        <v>-10.646141568442626</v>
      </c>
      <c r="Q30">
        <v>2.1716119161183038</v>
      </c>
      <c r="R30">
        <v>-4.9024144182595499</v>
      </c>
      <c r="S30" s="2" t="str">
        <f>IF(ABS(R30)&gt;2.576,"***",IF(ABS(R30)&gt;1.96,"**",IF(ABS(R30)&gt;1.645,"*","")))</f>
        <v>***</v>
      </c>
    </row>
    <row r="31" spans="2:19" x14ac:dyDescent="0.25">
      <c r="G31" s="2"/>
      <c r="K31" s="2"/>
      <c r="O31" s="2"/>
      <c r="S31" s="2"/>
    </row>
    <row r="32" spans="2:19" x14ac:dyDescent="0.25">
      <c r="G32" s="2"/>
      <c r="K32" s="2"/>
      <c r="O32" s="2"/>
      <c r="S32" s="2"/>
    </row>
    <row r="34" spans="1:19" ht="33" customHeight="1" x14ac:dyDescent="0.25">
      <c r="A34" s="4" t="s">
        <v>150</v>
      </c>
    </row>
    <row r="35" spans="1:19" x14ac:dyDescent="0.25">
      <c r="A35" s="4"/>
      <c r="B35" s="3" t="s">
        <v>26</v>
      </c>
      <c r="C35" t="s">
        <v>75</v>
      </c>
      <c r="D35">
        <v>0.81770129343227349</v>
      </c>
      <c r="E35">
        <v>1.5422637513804851</v>
      </c>
      <c r="F35">
        <v>0.53019549522599263</v>
      </c>
      <c r="G35" s="2" t="str">
        <f t="shared" ref="G35:G40" si="4">IF(ABS(F35)&gt;2.576,"***",IF(ABS(F35)&gt;1.96,"**",IF(ABS(F35)&gt;1.645,"*","")))</f>
        <v/>
      </c>
      <c r="H35" s="35">
        <v>-9.0160377201644888</v>
      </c>
      <c r="I35" s="35">
        <v>18.049141794019341</v>
      </c>
      <c r="J35" s="35">
        <v>-0.49952722534165001</v>
      </c>
      <c r="K35" s="2" t="str">
        <f t="shared" ref="K35:K40" si="5">IF(ABS(J35)&gt;2.576,"***",IF(ABS(J35)&gt;1.96,"**",IF(ABS(J35)&gt;1.645,"*","")))</f>
        <v/>
      </c>
      <c r="L35" s="30">
        <v>-15.597852315706572</v>
      </c>
      <c r="M35" s="30">
        <v>2.2495547301660919</v>
      </c>
      <c r="N35" s="30">
        <v>-6.9337509803795383</v>
      </c>
      <c r="O35" s="2" t="str">
        <f t="shared" ref="O35:O40" si="6">IF(ABS(N35)&gt;2.576,"***",IF(ABS(N35)&gt;1.96,"**",IF(ABS(N35)&gt;1.645,"*","")))</f>
        <v>***</v>
      </c>
      <c r="P35" s="30">
        <v>-6.0428928798927783</v>
      </c>
      <c r="Q35" s="30">
        <v>1.071815593417333</v>
      </c>
      <c r="R35" s="30">
        <v>-5.6379967944167202</v>
      </c>
      <c r="S35" s="2" t="str">
        <f>IF(ABS(R35)&gt;2.576,"***",IF(ABS(R35)&gt;1.96,"**",IF(ABS(R35)&gt;1.645,"*","")))</f>
        <v>***</v>
      </c>
    </row>
    <row r="36" spans="1:19" x14ac:dyDescent="0.25">
      <c r="A36" s="4"/>
      <c r="C36" t="s">
        <v>76</v>
      </c>
      <c r="D36">
        <v>19.88044854148729</v>
      </c>
      <c r="E36">
        <v>3.221418898119202</v>
      </c>
      <c r="F36">
        <v>6.171332934407979</v>
      </c>
      <c r="G36" s="2" t="str">
        <f t="shared" si="4"/>
        <v>***</v>
      </c>
      <c r="H36" s="35">
        <v>51.088486365579477</v>
      </c>
      <c r="I36" s="35">
        <v>115.62518225531862</v>
      </c>
      <c r="J36" s="35">
        <v>0.441845672102536</v>
      </c>
      <c r="K36" s="2" t="str">
        <f t="shared" si="5"/>
        <v/>
      </c>
      <c r="L36" s="30">
        <v>10.641815027267807</v>
      </c>
      <c r="M36" s="30">
        <v>1.6754857273452661</v>
      </c>
      <c r="N36" s="30">
        <v>6.3514805608814688</v>
      </c>
      <c r="O36" s="2" t="str">
        <f t="shared" si="6"/>
        <v>***</v>
      </c>
      <c r="P36" s="30">
        <v>38.076791989783999</v>
      </c>
      <c r="Q36" s="30">
        <v>5.5502801827923847</v>
      </c>
      <c r="R36" s="30">
        <v>6.8603369083661834</v>
      </c>
      <c r="S36" s="2" t="str">
        <f t="shared" ref="S36:S61" si="7">IF(ABS(R36)&gt;2.576,"***",IF(ABS(R36)&gt;1.96,"**",IF(ABS(R36)&gt;1.645,"*","")))</f>
        <v>***</v>
      </c>
    </row>
    <row r="37" spans="1:19" x14ac:dyDescent="0.25">
      <c r="A37" s="4"/>
      <c r="B37" s="3" t="s">
        <v>31</v>
      </c>
      <c r="C37" t="s">
        <v>77</v>
      </c>
      <c r="D37">
        <v>3.4874378017237677</v>
      </c>
      <c r="E37">
        <v>2.1200845926954379</v>
      </c>
      <c r="F37">
        <v>1.6449521937659579</v>
      </c>
      <c r="G37" s="2" t="str">
        <f t="shared" si="4"/>
        <v/>
      </c>
      <c r="H37" s="35">
        <v>-41.839825226330838</v>
      </c>
      <c r="I37" s="35">
        <v>90.88039399954252</v>
      </c>
      <c r="J37" s="35">
        <v>-0.46038340487984092</v>
      </c>
      <c r="K37" s="2" t="str">
        <f t="shared" si="5"/>
        <v/>
      </c>
      <c r="L37" s="30">
        <v>-22.255968030746601</v>
      </c>
      <c r="M37" s="30">
        <v>3.1921069525464718</v>
      </c>
      <c r="N37" s="30">
        <v>-6.9721874491054026</v>
      </c>
      <c r="O37" s="2" t="str">
        <f t="shared" si="6"/>
        <v>***</v>
      </c>
      <c r="P37" s="30">
        <v>-11.920803303233248</v>
      </c>
      <c r="Q37" s="30">
        <v>1.7211251392803057</v>
      </c>
      <c r="R37" s="30">
        <v>-6.9261688364031286</v>
      </c>
      <c r="S37" s="2" t="str">
        <f t="shared" si="7"/>
        <v>***</v>
      </c>
    </row>
    <row r="38" spans="1:19" x14ac:dyDescent="0.25">
      <c r="A38" s="4"/>
      <c r="C38" t="s">
        <v>78</v>
      </c>
      <c r="D38">
        <v>33.350847286127461</v>
      </c>
      <c r="E38">
        <v>5.4645974830165276</v>
      </c>
      <c r="F38">
        <v>6.1030748174552389</v>
      </c>
      <c r="G38" s="2" t="str">
        <f t="shared" si="4"/>
        <v>***</v>
      </c>
      <c r="H38" s="35">
        <v>60.311499465561099</v>
      </c>
      <c r="I38" s="35">
        <v>138.69243098457324</v>
      </c>
      <c r="J38" s="35">
        <v>0.4348579013101988</v>
      </c>
      <c r="K38" s="2" t="str">
        <f t="shared" si="5"/>
        <v/>
      </c>
      <c r="L38" s="30">
        <v>16.407237240894474</v>
      </c>
      <c r="M38" s="30">
        <v>2.4395827788988402</v>
      </c>
      <c r="N38" s="30">
        <v>6.7254275537640256</v>
      </c>
      <c r="O38" s="2" t="str">
        <f t="shared" si="6"/>
        <v>***</v>
      </c>
      <c r="P38" s="30">
        <v>-34.018841229117982</v>
      </c>
      <c r="Q38" s="30">
        <v>4.9829423261535322</v>
      </c>
      <c r="R38" s="30">
        <v>-6.8270589949569098</v>
      </c>
      <c r="S38" s="2" t="str">
        <f t="shared" si="7"/>
        <v>***</v>
      </c>
    </row>
    <row r="39" spans="1:19" x14ac:dyDescent="0.25">
      <c r="A39" s="4"/>
      <c r="B39" s="3" t="s">
        <v>36</v>
      </c>
      <c r="C39" t="s">
        <v>79</v>
      </c>
      <c r="D39">
        <v>-40.077191300765662</v>
      </c>
      <c r="E39">
        <v>6.0230750546064407</v>
      </c>
      <c r="F39">
        <v>-6.6539418714556238</v>
      </c>
      <c r="G39" s="2" t="str">
        <f t="shared" si="4"/>
        <v>***</v>
      </c>
      <c r="H39" s="35">
        <v>19.078568069145742</v>
      </c>
      <c r="I39" s="35">
        <v>54.393552145286101</v>
      </c>
      <c r="J39" s="35">
        <v>0.35075054517834331</v>
      </c>
      <c r="K39" s="2" t="str">
        <f t="shared" si="5"/>
        <v/>
      </c>
      <c r="L39" s="30">
        <v>-31.218184494467319</v>
      </c>
      <c r="M39" s="30">
        <v>4.421389728032846</v>
      </c>
      <c r="N39" s="30">
        <v>-7.0607176509537961</v>
      </c>
      <c r="O39" s="2" t="str">
        <f t="shared" si="6"/>
        <v>***</v>
      </c>
      <c r="P39" s="30">
        <v>-9.9401579662895045</v>
      </c>
      <c r="Q39" s="30">
        <v>2.6373258325301716</v>
      </c>
      <c r="R39" s="30">
        <v>-3.7690291596443402</v>
      </c>
      <c r="S39" s="2" t="str">
        <f t="shared" si="7"/>
        <v>***</v>
      </c>
    </row>
    <row r="40" spans="1:19" x14ac:dyDescent="0.25">
      <c r="A40" s="4"/>
      <c r="C40" t="s">
        <v>80</v>
      </c>
      <c r="D40">
        <v>-22.891576486924919</v>
      </c>
      <c r="E40">
        <v>3.5507553573053756</v>
      </c>
      <c r="F40">
        <v>-6.4469596419329349</v>
      </c>
      <c r="G40" s="2" t="str">
        <f t="shared" si="4"/>
        <v>***</v>
      </c>
      <c r="H40" s="35">
        <v>60.346448171514339</v>
      </c>
      <c r="I40" s="35">
        <v>138.96892664620788</v>
      </c>
      <c r="J40" s="35">
        <v>0.43424418413438942</v>
      </c>
      <c r="K40" s="2" t="str">
        <f t="shared" si="5"/>
        <v/>
      </c>
      <c r="L40" s="30">
        <v>19.046782338397335</v>
      </c>
      <c r="M40" s="30">
        <v>2.9785720335947481</v>
      </c>
      <c r="N40" s="30">
        <v>6.3946018842493286</v>
      </c>
      <c r="O40" s="2" t="str">
        <f t="shared" si="6"/>
        <v>***</v>
      </c>
      <c r="P40" s="30">
        <v>22.51310309154514</v>
      </c>
      <c r="Q40" s="30">
        <v>3.6678992654167644</v>
      </c>
      <c r="R40" s="30">
        <v>6.137873878874669</v>
      </c>
      <c r="S40" s="2" t="str">
        <f t="shared" si="7"/>
        <v>***</v>
      </c>
    </row>
    <row r="41" spans="1:19" x14ac:dyDescent="0.25">
      <c r="A41" s="4"/>
      <c r="C41" t="s">
        <v>81</v>
      </c>
      <c r="D41">
        <v>26.264043905143559</v>
      </c>
      <c r="E41">
        <v>3.8844439937094002</v>
      </c>
      <c r="F41">
        <v>6.7613393184909958</v>
      </c>
      <c r="G41" s="2"/>
      <c r="H41" s="35">
        <v>10.071471951338404</v>
      </c>
      <c r="I41" s="35">
        <v>49.89016022079678</v>
      </c>
      <c r="J41" s="35">
        <v>0.20187291254959919</v>
      </c>
      <c r="K41" s="2"/>
      <c r="L41" s="30">
        <v>25.930234698633718</v>
      </c>
      <c r="M41" s="30">
        <v>3.5446745428853736</v>
      </c>
      <c r="N41" s="30">
        <v>7.3152653043081459</v>
      </c>
      <c r="O41" s="2"/>
      <c r="P41" s="30">
        <v>36.658555997242843</v>
      </c>
      <c r="Q41" s="30">
        <v>4.6294500480575866</v>
      </c>
      <c r="R41" s="30">
        <v>7.9185552531502008</v>
      </c>
      <c r="S41" s="2" t="str">
        <f t="shared" si="7"/>
        <v>***</v>
      </c>
    </row>
    <row r="42" spans="1:19" x14ac:dyDescent="0.25">
      <c r="A42" s="4"/>
      <c r="C42" t="s">
        <v>82</v>
      </c>
      <c r="D42">
        <v>20.556243103926679</v>
      </c>
      <c r="E42">
        <v>2.1793966071073338</v>
      </c>
      <c r="F42">
        <v>9.4320799788756755</v>
      </c>
      <c r="G42" s="2"/>
      <c r="H42" s="35">
        <v>54.458567684904054</v>
      </c>
      <c r="I42" s="35">
        <v>19.756164520483615</v>
      </c>
      <c r="J42" s="35">
        <v>2.756535441301891</v>
      </c>
      <c r="K42" s="2"/>
      <c r="L42" s="30">
        <v>-18.284529227404335</v>
      </c>
      <c r="M42" s="30">
        <v>2.1151476286991597</v>
      </c>
      <c r="N42" s="30">
        <v>-8.6445640858881951</v>
      </c>
      <c r="O42" s="2"/>
      <c r="P42" s="30">
        <v>-41.023269367226746</v>
      </c>
      <c r="Q42" s="30">
        <v>3.4883761364937937</v>
      </c>
      <c r="R42" s="30">
        <v>-11.75999025393509</v>
      </c>
      <c r="S42" s="2" t="str">
        <f t="shared" si="7"/>
        <v>***</v>
      </c>
    </row>
    <row r="43" spans="1:19" x14ac:dyDescent="0.25">
      <c r="B43" t="s">
        <v>46</v>
      </c>
      <c r="C43" t="s">
        <v>83</v>
      </c>
      <c r="D43">
        <v>3.901587278257896</v>
      </c>
      <c r="E43">
        <v>1.307552898897026</v>
      </c>
      <c r="F43">
        <v>2.9838848443906509</v>
      </c>
      <c r="G43" s="2" t="str">
        <f>IF(ABS(F43)&gt;2.576,"***",IF(ABS(F43)&gt;1.96,"**",IF(ABS(F43)&gt;1.645,"*","")))</f>
        <v>***</v>
      </c>
      <c r="H43" s="35">
        <v>13.528645306590608</v>
      </c>
      <c r="I43" s="35">
        <v>30.357732522911782</v>
      </c>
      <c r="J43" s="35">
        <v>0.44564083619816403</v>
      </c>
      <c r="K43" s="2" t="str">
        <f>IF(ABS(J43)&gt;2.576,"***",IF(ABS(J43)&gt;1.96,"**",IF(ABS(J43)&gt;1.645,"*","")))</f>
        <v/>
      </c>
      <c r="L43" s="30">
        <v>2.0131827657836121</v>
      </c>
      <c r="M43" s="30">
        <v>0.72031547516726535</v>
      </c>
      <c r="N43" s="30">
        <v>2.7948625778394232</v>
      </c>
      <c r="O43" s="2" t="str">
        <f>IF(ABS(N43)&gt;2.576,"***",IF(ABS(N43)&gt;1.96,"**",IF(ABS(N43)&gt;1.645,"*","")))</f>
        <v>***</v>
      </c>
      <c r="P43" s="30">
        <v>6.3081832241517972</v>
      </c>
      <c r="Q43" s="30">
        <v>1.0242483773177955</v>
      </c>
      <c r="R43" s="30">
        <v>6.1588413160790862</v>
      </c>
      <c r="S43" s="2" t="str">
        <f t="shared" si="7"/>
        <v>***</v>
      </c>
    </row>
    <row r="44" spans="1:19" x14ac:dyDescent="0.25">
      <c r="C44" t="s">
        <v>84</v>
      </c>
      <c r="D44">
        <v>7.0117175052206004</v>
      </c>
      <c r="E44">
        <v>1.5625235790166649</v>
      </c>
      <c r="F44">
        <v>4.4874314854392452</v>
      </c>
      <c r="G44" s="2"/>
      <c r="H44" s="35">
        <v>-9.0914725365941891</v>
      </c>
      <c r="I44" s="35">
        <v>24.570524817448337</v>
      </c>
      <c r="J44" s="35">
        <v>-0.37001539869991029</v>
      </c>
      <c r="K44" s="2"/>
      <c r="L44" s="30">
        <v>4.620730031329324</v>
      </c>
      <c r="M44" s="30">
        <v>0.97196826863442731</v>
      </c>
      <c r="N44" s="30">
        <v>4.7539926769638754</v>
      </c>
      <c r="O44" s="2"/>
      <c r="P44" s="30">
        <v>0.40540466980418938</v>
      </c>
      <c r="Q44" s="30">
        <v>0.55973427417718757</v>
      </c>
      <c r="R44" s="30">
        <v>0.72428058903510317</v>
      </c>
      <c r="S44" s="2" t="str">
        <f t="shared" si="7"/>
        <v/>
      </c>
    </row>
    <row r="45" spans="1:19" x14ac:dyDescent="0.25">
      <c r="B45" t="s">
        <v>51</v>
      </c>
      <c r="C45" t="s">
        <v>85</v>
      </c>
      <c r="D45">
        <v>3.0480450455206682</v>
      </c>
      <c r="E45">
        <v>1.2767822117198915</v>
      </c>
      <c r="F45">
        <v>2.3872865846202491</v>
      </c>
      <c r="G45" s="2" t="str">
        <f>IF(ABS(F45)&gt;2.576,"***",IF(ABS(F45)&gt;1.96,"**",IF(ABS(F45)&gt;1.645,"*","")))</f>
        <v>**</v>
      </c>
      <c r="H45" s="35">
        <v>19.024740149443375</v>
      </c>
      <c r="I45" s="35">
        <v>44.23708297171676</v>
      </c>
      <c r="J45" s="35">
        <v>0.43006317034075142</v>
      </c>
      <c r="K45" s="2" t="str">
        <f>IF(ABS(J45)&gt;2.576,"***",IF(ABS(J45)&gt;1.96,"**",IF(ABS(J45)&gt;1.645,"*","")))</f>
        <v/>
      </c>
      <c r="L45" s="30">
        <v>6.1559518405261739</v>
      </c>
      <c r="M45" s="30">
        <v>1.0071724097983303</v>
      </c>
      <c r="N45" s="30">
        <v>6.1121132594952661</v>
      </c>
      <c r="O45" s="2" t="str">
        <f>IF(ABS(N45)&gt;2.576,"***",IF(ABS(N45)&gt;1.96,"**",IF(ABS(N45)&gt;1.645,"*","")))</f>
        <v>***</v>
      </c>
      <c r="P45" s="30">
        <v>11.923559882140545</v>
      </c>
      <c r="Q45" s="30">
        <v>1.8161138529317808</v>
      </c>
      <c r="R45" s="30">
        <v>6.5654253244597838</v>
      </c>
      <c r="S45" s="2" t="str">
        <f t="shared" si="7"/>
        <v>***</v>
      </c>
    </row>
    <row r="46" spans="1:19" x14ac:dyDescent="0.25">
      <c r="C46" t="s">
        <v>86</v>
      </c>
      <c r="D46">
        <v>-10.490282522635979</v>
      </c>
      <c r="E46">
        <v>1.7216835671242456</v>
      </c>
      <c r="F46">
        <v>-6.0930374912958358</v>
      </c>
      <c r="G46" s="2"/>
      <c r="H46" s="35">
        <v>1.7951092923245695</v>
      </c>
      <c r="I46" s="35">
        <v>6.8928283999965148</v>
      </c>
      <c r="J46" s="35">
        <v>0.26043144963908832</v>
      </c>
      <c r="K46" s="2"/>
      <c r="L46" s="30">
        <v>3.885150560357904</v>
      </c>
      <c r="M46" s="30">
        <v>0.68401462832351556</v>
      </c>
      <c r="N46" s="30">
        <v>5.6799232055609776</v>
      </c>
      <c r="O46" s="2"/>
      <c r="P46" s="30">
        <v>11.087046332116557</v>
      </c>
      <c r="Q46" s="30">
        <v>1.6686508219139338</v>
      </c>
      <c r="R46" s="30">
        <v>6.6443177844719923</v>
      </c>
      <c r="S46" s="2" t="str">
        <f t="shared" si="7"/>
        <v>***</v>
      </c>
    </row>
    <row r="47" spans="1:19" x14ac:dyDescent="0.25">
      <c r="B47" t="s">
        <v>55</v>
      </c>
      <c r="C47" t="s">
        <v>87</v>
      </c>
      <c r="D47">
        <v>2.6874575948256303</v>
      </c>
      <c r="E47">
        <v>0.99716846266580161</v>
      </c>
      <c r="F47">
        <v>2.695088839493637</v>
      </c>
      <c r="G47" s="2" t="str">
        <f>IF(ABS(F47)&gt;2.576,"***",IF(ABS(F47)&gt;1.96,"**",IF(ABS(F47)&gt;1.645,"*","")))</f>
        <v>***</v>
      </c>
      <c r="H47" s="35">
        <v>19.588231911819754</v>
      </c>
      <c r="I47" s="35">
        <v>43.791259920106143</v>
      </c>
      <c r="J47" s="35">
        <v>0.44730916506072238</v>
      </c>
      <c r="K47" s="2" t="str">
        <f>IF(ABS(J47)&gt;2.576,"***",IF(ABS(J47)&gt;1.96,"**",IF(ABS(J47)&gt;1.645,"*","")))</f>
        <v/>
      </c>
      <c r="L47" s="30">
        <v>3.440737763849588</v>
      </c>
      <c r="M47" s="30">
        <v>0.77017629574442581</v>
      </c>
      <c r="N47" s="30">
        <v>4.4674677510347029</v>
      </c>
      <c r="O47" s="2" t="str">
        <f>IF(ABS(N47)&gt;2.576,"***",IF(ABS(N47)&gt;1.96,"**",IF(ABS(N47)&gt;1.645,"*","")))</f>
        <v>***</v>
      </c>
      <c r="P47" s="30">
        <v>7.228612811067916</v>
      </c>
      <c r="Q47" s="30">
        <v>0.88792918859983871</v>
      </c>
      <c r="R47" s="30">
        <v>8.1409789247570519</v>
      </c>
      <c r="S47" s="2" t="str">
        <f t="shared" si="7"/>
        <v>***</v>
      </c>
    </row>
    <row r="48" spans="1:19" x14ac:dyDescent="0.25">
      <c r="C48" t="s">
        <v>88</v>
      </c>
      <c r="D48">
        <v>-4.9621687945327047</v>
      </c>
      <c r="E48">
        <v>1.4414588676001336</v>
      </c>
      <c r="F48">
        <v>-3.4424629839033529</v>
      </c>
      <c r="G48" s="2"/>
      <c r="H48" s="35">
        <v>-9.8757346844091067</v>
      </c>
      <c r="I48" s="35">
        <v>21.486739540247541</v>
      </c>
      <c r="J48" s="35">
        <v>-0.45961997472490118</v>
      </c>
      <c r="K48" s="2"/>
      <c r="L48" s="30">
        <v>-2.257661457715368</v>
      </c>
      <c r="M48" s="30">
        <v>1.0247082838094388</v>
      </c>
      <c r="N48" s="30">
        <v>-2.2032235841036858</v>
      </c>
      <c r="O48" s="2"/>
      <c r="P48" s="30">
        <v>-2.7514451981409622</v>
      </c>
      <c r="Q48" s="30">
        <v>0.96714861715211153</v>
      </c>
      <c r="R48" s="30">
        <v>-2.8449042363757209</v>
      </c>
      <c r="S48" s="2" t="str">
        <f t="shared" si="7"/>
        <v>***</v>
      </c>
    </row>
    <row r="49" spans="1:19" x14ac:dyDescent="0.25">
      <c r="B49" t="s">
        <v>58</v>
      </c>
      <c r="C49" t="s">
        <v>89</v>
      </c>
      <c r="D49">
        <v>3.4379678812911156</v>
      </c>
      <c r="E49">
        <v>1.0021570675952827</v>
      </c>
      <c r="F49">
        <v>3.4305679144095258</v>
      </c>
      <c r="G49" s="2" t="str">
        <f>IF(ABS(F49)&gt;2.576,"***",IF(ABS(F49)&gt;1.96,"**",IF(ABS(F49)&gt;1.645,"*","")))</f>
        <v>***</v>
      </c>
      <c r="H49" s="35">
        <v>8.9711094057508252</v>
      </c>
      <c r="I49" s="35">
        <v>21.497200168933798</v>
      </c>
      <c r="J49" s="35">
        <v>0.41731524734626702</v>
      </c>
      <c r="K49" s="2" t="str">
        <f>IF(ABS(J49)&gt;2.576,"***",IF(ABS(J49)&gt;1.96,"**",IF(ABS(J49)&gt;1.645,"*","")))</f>
        <v/>
      </c>
      <c r="L49" s="30">
        <v>1.8315957439649535</v>
      </c>
      <c r="M49" s="30">
        <v>0.55427340390551794</v>
      </c>
      <c r="N49" s="30">
        <v>3.3044987023717431</v>
      </c>
      <c r="O49" s="2" t="str">
        <f>IF(ABS(N49)&gt;2.576,"***",IF(ABS(N49)&gt;1.96,"**",IF(ABS(N49)&gt;1.645,"*","")))</f>
        <v>***</v>
      </c>
      <c r="P49" s="30">
        <v>5.3491279273277605</v>
      </c>
      <c r="Q49" s="30">
        <v>0.94297732029584203</v>
      </c>
      <c r="R49" s="30">
        <v>5.6725944645726667</v>
      </c>
      <c r="S49" s="2" t="str">
        <f t="shared" si="7"/>
        <v>***</v>
      </c>
    </row>
    <row r="50" spans="1:19" x14ac:dyDescent="0.25">
      <c r="C50" t="s">
        <v>90</v>
      </c>
      <c r="D50">
        <v>4.4125054055116717</v>
      </c>
      <c r="E50">
        <v>1.0527505554323229</v>
      </c>
      <c r="F50">
        <v>4.1914063903767129</v>
      </c>
      <c r="G50" s="2"/>
      <c r="H50" s="35">
        <v>-12.184324097086389</v>
      </c>
      <c r="I50" s="35">
        <v>27.326217325485239</v>
      </c>
      <c r="J50" s="35">
        <v>-0.44588403700218432</v>
      </c>
      <c r="K50" s="2"/>
      <c r="L50" s="30">
        <v>1.8920361848901048</v>
      </c>
      <c r="M50" s="30">
        <v>0.82631514796950423</v>
      </c>
      <c r="N50" s="30">
        <v>2.2897270969065331</v>
      </c>
      <c r="O50" s="2"/>
      <c r="P50" s="30">
        <v>-6.6818767107438006</v>
      </c>
      <c r="Q50" s="30">
        <v>1.0815080756443365</v>
      </c>
      <c r="R50" s="30">
        <v>-6.1782957161581038</v>
      </c>
      <c r="S50" s="2" t="str">
        <f t="shared" si="7"/>
        <v>***</v>
      </c>
    </row>
    <row r="51" spans="1:19" x14ac:dyDescent="0.25">
      <c r="B51" t="s">
        <v>61</v>
      </c>
      <c r="C51" t="s">
        <v>91</v>
      </c>
      <c r="D51">
        <v>0.18585007782460106</v>
      </c>
      <c r="E51">
        <v>0.99498125300730944</v>
      </c>
      <c r="F51">
        <v>0.18678751711439101</v>
      </c>
      <c r="G51" s="2" t="str">
        <f>IF(ABS(F51)&gt;2.576,"***",IF(ABS(F51)&gt;1.96,"**",IF(ABS(F51)&gt;1.645,"*","")))</f>
        <v/>
      </c>
      <c r="H51" s="35">
        <v>1.1519375144815014</v>
      </c>
      <c r="I51" s="35">
        <v>8.6616277769138392</v>
      </c>
      <c r="J51" s="35">
        <v>0.13299319067390589</v>
      </c>
      <c r="K51" s="2" t="str">
        <f>IF(ABS(J51)&gt;2.576,"***",IF(ABS(J51)&gt;1.96,"**",IF(ABS(J51)&gt;1.645,"*","")))</f>
        <v/>
      </c>
      <c r="L51" s="30">
        <v>0.47136595390273817</v>
      </c>
      <c r="M51" s="30">
        <v>0.59832868239149328</v>
      </c>
      <c r="N51" s="30">
        <v>0.78780437537894599</v>
      </c>
      <c r="O51" s="2" t="str">
        <f>IF(ABS(N51)&gt;2.576,"***",IF(ABS(N51)&gt;1.96,"**",IF(ABS(N51)&gt;1.645,"*","")))</f>
        <v/>
      </c>
      <c r="P51" s="30">
        <v>0.21143072069368982</v>
      </c>
      <c r="Q51" s="30">
        <v>0.42537586957952622</v>
      </c>
      <c r="R51" s="30">
        <v>0.49704446305965588</v>
      </c>
      <c r="S51" s="2" t="str">
        <f t="shared" si="7"/>
        <v/>
      </c>
    </row>
    <row r="52" spans="1:19" x14ac:dyDescent="0.25">
      <c r="C52" t="s">
        <v>92</v>
      </c>
      <c r="D52">
        <v>-7.4859654024689517</v>
      </c>
      <c r="E52">
        <v>1.3448857551134161</v>
      </c>
      <c r="F52">
        <v>-5.5662463328252363</v>
      </c>
      <c r="G52" s="2"/>
      <c r="H52" s="35">
        <v>-2.1780106127888379</v>
      </c>
      <c r="I52" s="35">
        <v>12.265769251979602</v>
      </c>
      <c r="J52" s="35">
        <v>-0.1775682036768565</v>
      </c>
      <c r="K52" s="2"/>
      <c r="L52" s="30">
        <v>5.1455666602294841</v>
      </c>
      <c r="M52" s="30">
        <v>1.0109908572228141</v>
      </c>
      <c r="N52" s="30">
        <v>5.0896272933311453</v>
      </c>
      <c r="O52" s="2"/>
      <c r="P52" s="30">
        <v>-4.9161993613608059</v>
      </c>
      <c r="Q52" s="30">
        <v>0.82119234991632228</v>
      </c>
      <c r="R52" s="30">
        <v>-5.9866599608018216</v>
      </c>
      <c r="S52" s="2" t="str">
        <f t="shared" si="7"/>
        <v>***</v>
      </c>
    </row>
    <row r="53" spans="1:19" x14ac:dyDescent="0.25">
      <c r="B53" t="s">
        <v>64</v>
      </c>
      <c r="C53" t="s">
        <v>138</v>
      </c>
      <c r="D53">
        <v>0.50660988000167184</v>
      </c>
      <c r="E53">
        <v>0.64823558435971484</v>
      </c>
      <c r="F53">
        <v>0.78152124354923869</v>
      </c>
      <c r="G53" s="2" t="str">
        <f>IF(ABS(F53)&gt;2.576,"***",IF(ABS(F53)&gt;1.96,"**",IF(ABS(F53)&gt;1.645,"*","")))</f>
        <v/>
      </c>
      <c r="H53" s="35">
        <v>-13.031358698437908</v>
      </c>
      <c r="I53" s="35">
        <v>30.738500470536103</v>
      </c>
      <c r="J53" s="35">
        <v>-0.42394256385176993</v>
      </c>
      <c r="K53" s="2" t="str">
        <f>IF(ABS(J53)&gt;2.576,"***",IF(ABS(J53)&gt;1.96,"**",IF(ABS(J53)&gt;1.645,"*","")))</f>
        <v/>
      </c>
      <c r="L53" s="30">
        <v>0.23228395685873041</v>
      </c>
      <c r="M53" s="30">
        <v>0.55777084462162074</v>
      </c>
      <c r="N53" s="30">
        <v>0.4164505174455766</v>
      </c>
      <c r="O53" s="2" t="str">
        <f>IF(ABS(N53)&gt;2.576,"***",IF(ABS(N53)&gt;1.96,"**",IF(ABS(N53)&gt;1.645,"*","")))</f>
        <v/>
      </c>
      <c r="P53" s="30">
        <v>-0.58815166558622478</v>
      </c>
      <c r="Q53" s="30">
        <v>0.47413581464263266</v>
      </c>
      <c r="R53" s="30">
        <v>-1.2404708680982659</v>
      </c>
      <c r="S53" s="2" t="str">
        <f t="shared" si="7"/>
        <v/>
      </c>
    </row>
    <row r="54" spans="1:19" x14ac:dyDescent="0.25">
      <c r="C54" t="s">
        <v>139</v>
      </c>
      <c r="D54">
        <v>2.8316360532951199</v>
      </c>
      <c r="E54">
        <v>0.88004303052066135</v>
      </c>
      <c r="F54">
        <v>3.2176109066165028</v>
      </c>
      <c r="G54" s="2"/>
      <c r="H54" s="35">
        <v>-7.0022026963315316</v>
      </c>
      <c r="I54" s="35">
        <v>17.189141826261888</v>
      </c>
      <c r="J54" s="35">
        <v>-0.40736197112722861</v>
      </c>
      <c r="K54" s="2"/>
      <c r="L54" s="30">
        <v>4.6516669155917736</v>
      </c>
      <c r="M54" s="30">
        <v>0.93223986725148211</v>
      </c>
      <c r="N54" s="30">
        <v>4.9897747124956773</v>
      </c>
      <c r="O54" s="2"/>
      <c r="P54" s="30">
        <v>0.49576509831199683</v>
      </c>
      <c r="Q54" s="30">
        <v>0.57640170067153196</v>
      </c>
      <c r="R54" s="30">
        <v>0.86010346210708566</v>
      </c>
      <c r="S54" s="2" t="str">
        <f t="shared" si="7"/>
        <v/>
      </c>
    </row>
    <row r="55" spans="1:19" x14ac:dyDescent="0.25">
      <c r="B55" t="s">
        <v>67</v>
      </c>
      <c r="C55" t="s">
        <v>140</v>
      </c>
      <c r="D55">
        <v>1.68421733774178</v>
      </c>
      <c r="E55">
        <v>0.6781370214690956</v>
      </c>
      <c r="F55">
        <v>2.4835944424522678</v>
      </c>
      <c r="G55" s="2" t="str">
        <f>IF(ABS(F55)&gt;2.576,"***",IF(ABS(F55)&gt;1.96,"**",IF(ABS(F55)&gt;1.645,"*","")))</f>
        <v>**</v>
      </c>
      <c r="H55" s="35">
        <v>-11.596169390498916</v>
      </c>
      <c r="I55" s="35">
        <v>27.803131789666541</v>
      </c>
      <c r="J55" s="35">
        <v>-0.41708140932557858</v>
      </c>
      <c r="K55" s="2" t="str">
        <f>IF(ABS(J55)&gt;2.576,"***",IF(ABS(J55)&gt;1.96,"**",IF(ABS(J55)&gt;1.645,"*","")))</f>
        <v/>
      </c>
      <c r="L55" s="30">
        <v>-0.15259564601443623</v>
      </c>
      <c r="M55" s="30">
        <v>0.49173098625945866</v>
      </c>
      <c r="N55" s="30">
        <v>-0.31032342943285701</v>
      </c>
      <c r="O55" s="2" t="str">
        <f>IF(ABS(N55)&gt;2.576,"***",IF(ABS(N55)&gt;1.96,"**",IF(ABS(N55)&gt;1.645,"*","")))</f>
        <v/>
      </c>
      <c r="P55" s="30">
        <v>-1.72417635119485</v>
      </c>
      <c r="Q55" s="30">
        <v>0.58719853860729199</v>
      </c>
      <c r="R55" s="30">
        <v>-2.93627493570441</v>
      </c>
      <c r="S55" s="2" t="str">
        <f t="shared" si="7"/>
        <v>***</v>
      </c>
    </row>
    <row r="56" spans="1:19" x14ac:dyDescent="0.25">
      <c r="C56" t="s">
        <v>141</v>
      </c>
      <c r="D56">
        <v>-5.5526079582518761</v>
      </c>
      <c r="E56">
        <v>1.1209452288436836</v>
      </c>
      <c r="F56">
        <v>-4.9535051449210359</v>
      </c>
      <c r="H56" s="35">
        <v>15.958233605061608</v>
      </c>
      <c r="I56" s="35">
        <v>35.488016758255121</v>
      </c>
      <c r="J56" s="35">
        <v>0.44967949924531769</v>
      </c>
      <c r="L56" s="30">
        <v>-3.9635462702628481</v>
      </c>
      <c r="M56" s="30">
        <v>0.69758333746807666</v>
      </c>
      <c r="N56" s="30">
        <v>-5.68182474749009</v>
      </c>
      <c r="P56" s="30">
        <v>2.44631646991352</v>
      </c>
      <c r="Q56" s="30">
        <v>0.67409671946390848</v>
      </c>
      <c r="R56" s="30">
        <v>3.6290288904817891</v>
      </c>
      <c r="S56" s="2" t="str">
        <f t="shared" si="7"/>
        <v>***</v>
      </c>
    </row>
    <row r="57" spans="1:19" x14ac:dyDescent="0.25">
      <c r="B57" t="s">
        <v>70</v>
      </c>
      <c r="C57" t="s">
        <v>71</v>
      </c>
      <c r="D57">
        <v>22.232556695791818</v>
      </c>
      <c r="E57">
        <v>4.1629035178373899</v>
      </c>
      <c r="F57">
        <v>5.3406370338704221</v>
      </c>
      <c r="H57" s="35">
        <v>580.41549827771803</v>
      </c>
      <c r="I57" s="35">
        <v>1243.5990463643261</v>
      </c>
      <c r="J57" s="35">
        <v>0.46672237323964533</v>
      </c>
      <c r="L57" s="30">
        <v>19.40088363070609</v>
      </c>
      <c r="M57" s="30">
        <v>3.3672964277653423</v>
      </c>
      <c r="N57" s="30">
        <v>5.761560957548725</v>
      </c>
      <c r="P57" s="30">
        <v>14.552931474488327</v>
      </c>
      <c r="Q57" s="30">
        <v>3.5219556382537198</v>
      </c>
      <c r="R57" s="30">
        <v>4.1320598466436262</v>
      </c>
      <c r="S57" s="2" t="str">
        <f t="shared" si="7"/>
        <v>***</v>
      </c>
    </row>
    <row r="58" spans="1:19" x14ac:dyDescent="0.25">
      <c r="B58" t="s">
        <v>72</v>
      </c>
      <c r="C58" t="s">
        <v>73</v>
      </c>
      <c r="D58">
        <v>19.998312249102284</v>
      </c>
      <c r="E58">
        <v>3.0605629854679739</v>
      </c>
      <c r="F58">
        <v>6.5341939845895567</v>
      </c>
      <c r="G58" s="2" t="str">
        <f>IF(ABS(F58)&gt;2.576,"***",IF(ABS(F58)&gt;1.96,"**",IF(ABS(F58)&gt;1.645,"*","")))</f>
        <v>***</v>
      </c>
      <c r="H58" s="35">
        <v>78.915634695931118</v>
      </c>
      <c r="I58" s="35">
        <v>91.309448488297832</v>
      </c>
      <c r="J58" s="35">
        <v>0.86426581260147373</v>
      </c>
      <c r="K58" s="2" t="str">
        <f>IF(ABS(J58)&gt;2.576,"***",IF(ABS(J58)&gt;1.96,"**",IF(ABS(J58)&gt;1.645,"*","")))</f>
        <v/>
      </c>
      <c r="L58" s="30">
        <v>18.943195720305194</v>
      </c>
      <c r="M58" s="30">
        <v>2.9077683385120641</v>
      </c>
      <c r="N58" s="30">
        <v>6.5146853239342422</v>
      </c>
      <c r="O58" s="2" t="str">
        <f>IF(ABS(N58)&gt;2.576,"***",IF(ABS(N58)&gt;1.96,"**",IF(ABS(N58)&gt;1.645,"*","")))</f>
        <v>***</v>
      </c>
      <c r="P58" s="30">
        <v>15.422707220697925</v>
      </c>
      <c r="Q58" s="30">
        <v>3.3730043025462919</v>
      </c>
      <c r="R58" s="30">
        <v>4.5723947666047353</v>
      </c>
      <c r="S58" s="2" t="str">
        <f t="shared" si="7"/>
        <v>***</v>
      </c>
    </row>
    <row r="59" spans="1:19" x14ac:dyDescent="0.25">
      <c r="B59" t="s">
        <v>93</v>
      </c>
      <c r="C59" t="s">
        <v>142</v>
      </c>
      <c r="D59">
        <v>-40.894892594197934</v>
      </c>
      <c r="E59">
        <v>12.773767788405983</v>
      </c>
      <c r="F59">
        <v>-3.2014745587684699</v>
      </c>
      <c r="G59" s="2" t="str">
        <f>IF(ABS(F59)&gt;2.576,"***",IF(ABS(F59)&gt;1.96,"**",IF(ABS(F59)&gt;1.645,"*","")))</f>
        <v>***</v>
      </c>
      <c r="H59" s="35">
        <v>28.094605789310219</v>
      </c>
      <c r="I59" s="35">
        <v>2.4453586874049922</v>
      </c>
      <c r="J59" s="35">
        <v>11.48895085780816</v>
      </c>
      <c r="K59" s="2" t="str">
        <f>IF(ABS(J59)&gt;2.576,"***",IF(ABS(J59)&gt;1.96,"**",IF(ABS(J59)&gt;1.645,"*","")))</f>
        <v>***</v>
      </c>
      <c r="L59" s="30">
        <v>-15.620332178760744</v>
      </c>
      <c r="M59" s="30">
        <v>3.046281912131616</v>
      </c>
      <c r="N59" s="30">
        <v>-5.127671249516931</v>
      </c>
      <c r="O59" s="2" t="str">
        <f>IF(ABS(N59)&gt;2.576,"***",IF(ABS(N59)&gt;1.96,"**",IF(ABS(N59)&gt;1.645,"*","")))</f>
        <v>***</v>
      </c>
      <c r="P59" s="30">
        <v>-3.8972650863967262</v>
      </c>
      <c r="Q59" s="30">
        <v>1.0613983923439914</v>
      </c>
      <c r="R59" s="30">
        <v>-3.671821169608152</v>
      </c>
      <c r="S59" s="2" t="str">
        <f t="shared" si="7"/>
        <v>***</v>
      </c>
    </row>
    <row r="60" spans="1:19" x14ac:dyDescent="0.25">
      <c r="B60" t="s">
        <v>94</v>
      </c>
      <c r="C60" t="s">
        <v>143</v>
      </c>
      <c r="D60">
        <v>-43.564629102489441</v>
      </c>
      <c r="E60">
        <v>15.867829034788013</v>
      </c>
      <c r="F60">
        <v>-2.74546877250694</v>
      </c>
      <c r="G60" s="2" t="str">
        <f>IF(ABS(F60)&gt;2.576,"***",IF(ABS(F60)&gt;1.96,"**",IF(ABS(F60)&gt;1.645,"*","")))</f>
        <v>***</v>
      </c>
      <c r="H60" s="35">
        <v>60.918393295476577</v>
      </c>
      <c r="I60" s="35">
        <v>5.0026433994043984</v>
      </c>
      <c r="J60" s="35">
        <v>12.17724079688138</v>
      </c>
      <c r="K60" s="2" t="str">
        <f>IF(ABS(J60)&gt;2.576,"***",IF(ABS(J60)&gt;1.96,"**",IF(ABS(J60)&gt;1.645,"*","")))</f>
        <v>***</v>
      </c>
      <c r="L60" s="30">
        <v>-8.9622164637207131</v>
      </c>
      <c r="M60" s="30">
        <v>1.8043771825778308</v>
      </c>
      <c r="N60" s="30">
        <v>-4.9669307228308028</v>
      </c>
      <c r="O60" s="2" t="str">
        <f>IF(ABS(N60)&gt;2.576,"***",IF(ABS(N60)&gt;1.96,"**",IF(ABS(N60)&gt;1.645,"*","")))</f>
        <v>***</v>
      </c>
      <c r="P60" s="30">
        <v>1.9806453369437438</v>
      </c>
      <c r="Q60" s="30">
        <v>1.225450724194781</v>
      </c>
      <c r="R60" s="30">
        <v>1.616258653113275</v>
      </c>
      <c r="S60" s="2" t="str">
        <f t="shared" si="7"/>
        <v/>
      </c>
    </row>
    <row r="61" spans="1:19" x14ac:dyDescent="0.25">
      <c r="A61" s="4"/>
      <c r="B61" t="s">
        <v>95</v>
      </c>
      <c r="C61" t="s">
        <v>144</v>
      </c>
      <c r="D61">
        <v>-2.6697365082914941</v>
      </c>
      <c r="E61">
        <v>4.5028612334406057</v>
      </c>
      <c r="F61">
        <v>-0.59289779761912997</v>
      </c>
      <c r="G61" s="2"/>
      <c r="H61" s="35">
        <v>32.823787506166362</v>
      </c>
      <c r="I61" s="35">
        <v>2.6434896235747263</v>
      </c>
      <c r="J61" s="35">
        <v>12.416839927587681</v>
      </c>
      <c r="K61" s="2"/>
      <c r="L61" s="30">
        <v>6.6581157150400339</v>
      </c>
      <c r="M61" s="30">
        <v>1.7875357830984118</v>
      </c>
      <c r="N61" s="30">
        <v>3.7247454165640468</v>
      </c>
      <c r="O61" s="2"/>
      <c r="P61" s="30">
        <v>5.8779104233404702</v>
      </c>
      <c r="Q61" s="30">
        <v>1.2521834948811534</v>
      </c>
      <c r="R61" s="30">
        <v>4.694128653962454</v>
      </c>
      <c r="S61" s="2" t="str">
        <f t="shared" si="7"/>
        <v>***</v>
      </c>
    </row>
    <row r="62" spans="1:19" x14ac:dyDescent="0.25">
      <c r="A62" s="4"/>
      <c r="G62" s="2"/>
      <c r="H62" s="2"/>
      <c r="I62" s="2"/>
      <c r="J62" s="2"/>
      <c r="K62" s="2"/>
      <c r="L62" s="2"/>
      <c r="M62" s="2"/>
      <c r="N62" s="2"/>
      <c r="O62" s="2"/>
      <c r="S62" s="2"/>
    </row>
    <row r="63" spans="1:19" x14ac:dyDescent="0.25">
      <c r="A63" s="4"/>
      <c r="B63" s="3"/>
      <c r="G63" s="2"/>
      <c r="H63" s="2"/>
      <c r="I63" s="2"/>
      <c r="J63" s="2"/>
      <c r="K63" s="2"/>
      <c r="L63" s="2"/>
      <c r="M63" s="2"/>
      <c r="N63" s="2"/>
      <c r="O63" s="2"/>
      <c r="S63" s="2"/>
    </row>
    <row r="64" spans="1:19" x14ac:dyDescent="0.25">
      <c r="A64" s="4"/>
      <c r="G64" s="2"/>
      <c r="H64" s="2"/>
      <c r="I64" s="2"/>
      <c r="J64" s="2"/>
      <c r="K64" s="2"/>
      <c r="L64" s="2"/>
      <c r="M64" s="2"/>
      <c r="N64" s="2"/>
      <c r="O64" s="2"/>
      <c r="S64" s="2"/>
    </row>
    <row r="65" spans="4:35" ht="15.75" thickBot="1" x14ac:dyDescent="0.3">
      <c r="D65" s="4" t="s">
        <v>151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4:35" x14ac:dyDescent="0.25">
      <c r="D66" s="5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3"/>
    </row>
    <row r="67" spans="4:35" x14ac:dyDescent="0.25">
      <c r="D67" s="6"/>
      <c r="E67" t="s">
        <v>97</v>
      </c>
      <c r="F67" t="s">
        <v>97</v>
      </c>
      <c r="G67" t="s">
        <v>98</v>
      </c>
      <c r="H67" t="s">
        <v>97</v>
      </c>
      <c r="I67" t="s">
        <v>22</v>
      </c>
      <c r="J67" t="s">
        <v>22</v>
      </c>
      <c r="K67" t="s">
        <v>22</v>
      </c>
      <c r="L67" t="s">
        <v>22</v>
      </c>
      <c r="M67" t="s">
        <v>99</v>
      </c>
      <c r="N67" t="s">
        <v>99</v>
      </c>
      <c r="O67" t="s">
        <v>99</v>
      </c>
      <c r="P67" t="s">
        <v>99</v>
      </c>
    </row>
    <row r="68" spans="4:35" x14ac:dyDescent="0.25">
      <c r="D68" s="6" t="s">
        <v>101</v>
      </c>
      <c r="E68" t="s">
        <v>102</v>
      </c>
      <c r="F68" t="s">
        <v>103</v>
      </c>
      <c r="G68" t="s">
        <v>104</v>
      </c>
      <c r="H68" t="s">
        <v>17</v>
      </c>
      <c r="I68" t="s">
        <v>102</v>
      </c>
      <c r="J68" t="s">
        <v>103</v>
      </c>
      <c r="K68" t="s">
        <v>104</v>
      </c>
      <c r="L68" t="s">
        <v>17</v>
      </c>
      <c r="M68" t="s">
        <v>102</v>
      </c>
      <c r="N68" t="s">
        <v>103</v>
      </c>
      <c r="O68" t="s">
        <v>104</v>
      </c>
      <c r="P68" t="s">
        <v>17</v>
      </c>
      <c r="R68" s="25" t="s">
        <v>105</v>
      </c>
    </row>
    <row r="69" spans="4:35" x14ac:dyDescent="0.25">
      <c r="D69" s="24" t="s">
        <v>106</v>
      </c>
      <c r="E69" s="15">
        <f>D4</f>
        <v>-1.6362193388148158</v>
      </c>
      <c r="F69" s="15">
        <f>H4</f>
        <v>-5.7211243714078739</v>
      </c>
      <c r="G69" s="15">
        <f>L4</f>
        <v>-15.569727286471988</v>
      </c>
      <c r="H69" s="15">
        <f>P4</f>
        <v>-23.682762509270677</v>
      </c>
      <c r="I69" s="15">
        <f>E4</f>
        <v>1.4617279958523137</v>
      </c>
      <c r="J69" s="15">
        <f>I4</f>
        <v>47.86121271292464</v>
      </c>
      <c r="K69" s="15">
        <f>M4</f>
        <v>4.6780903940745162</v>
      </c>
      <c r="L69" s="15">
        <f>Q4</f>
        <v>4.6780903940745162</v>
      </c>
      <c r="M69">
        <f>ABS(D5)</f>
        <v>25.666290095571842</v>
      </c>
      <c r="N69">
        <f>ABS(H5)</f>
        <v>571.55703673399682</v>
      </c>
      <c r="O69">
        <f>ABS(L5)</f>
        <v>13.916091933662347</v>
      </c>
      <c r="P69">
        <f>ABS(P5)</f>
        <v>61.086476324652637</v>
      </c>
      <c r="R69" s="15">
        <f>E69</f>
        <v>-1.6362193388148158</v>
      </c>
      <c r="S69" s="15">
        <f t="shared" ref="S69:AC69" si="8">F69</f>
        <v>-5.7211243714078739</v>
      </c>
      <c r="T69" s="15">
        <f t="shared" si="8"/>
        <v>-15.569727286471988</v>
      </c>
      <c r="U69" s="15">
        <f t="shared" si="8"/>
        <v>-23.682762509270677</v>
      </c>
      <c r="V69" s="15">
        <f t="shared" si="8"/>
        <v>1.4617279958523137</v>
      </c>
      <c r="W69" s="15">
        <f t="shared" si="8"/>
        <v>47.86121271292464</v>
      </c>
      <c r="X69" s="15">
        <f t="shared" si="8"/>
        <v>4.6780903940745162</v>
      </c>
      <c r="Y69" s="15">
        <f t="shared" si="8"/>
        <v>4.6780903940745162</v>
      </c>
      <c r="Z69" s="15">
        <f t="shared" si="8"/>
        <v>25.666290095571842</v>
      </c>
      <c r="AA69" s="15">
        <f t="shared" si="8"/>
        <v>571.55703673399682</v>
      </c>
      <c r="AB69" s="15">
        <f t="shared" si="8"/>
        <v>13.916091933662347</v>
      </c>
      <c r="AC69" s="15">
        <f t="shared" si="8"/>
        <v>61.086476324652637</v>
      </c>
      <c r="AD69" s="15"/>
      <c r="AE69" s="15"/>
      <c r="AF69" s="15"/>
      <c r="AG69" s="15"/>
      <c r="AH69" s="15"/>
      <c r="AI69" s="15"/>
    </row>
    <row r="70" spans="4:35" x14ac:dyDescent="0.25">
      <c r="D70" s="24" t="s">
        <v>107</v>
      </c>
      <c r="E70" s="15">
        <f>D6</f>
        <v>0.2011127941601448</v>
      </c>
      <c r="F70" s="15">
        <f>H6</f>
        <v>-112.75950485260212</v>
      </c>
      <c r="G70" s="15">
        <f>L6</f>
        <v>-19.819342353509619</v>
      </c>
      <c r="H70" s="15">
        <f>P6</f>
        <v>-13.036620940828048</v>
      </c>
      <c r="I70" s="15">
        <f>E6</f>
        <v>1.6718932719260526</v>
      </c>
      <c r="J70" s="15">
        <f>I6</f>
        <v>1226.1506620420898</v>
      </c>
      <c r="K70" s="15">
        <f>M6</f>
        <v>2.9373561273702444</v>
      </c>
      <c r="L70" s="15">
        <f>Q6</f>
        <v>2.9373561273702444</v>
      </c>
      <c r="M70">
        <f>ABS(D7)</f>
        <v>32.111424780322217</v>
      </c>
      <c r="N70">
        <f>ABS(H7)</f>
        <v>515.93246500579016</v>
      </c>
      <c r="O70">
        <f>ABS(L7)</f>
        <v>17.475369108624253</v>
      </c>
      <c r="P70">
        <f>ABS(P7)</f>
        <v>61.417610556388922</v>
      </c>
      <c r="R70" t="str">
        <f t="shared" ref="R70:R77" si="9">_xlfn.CONCAT(R69,", ",E70)</f>
        <v>-1.63621933881482, 0.201112794160145</v>
      </c>
      <c r="S70" t="str">
        <f t="shared" ref="S70:AC77" si="10">_xlfn.CONCAT(S69,", ",F70)</f>
        <v>-5.72112437140787, -112.759504852602</v>
      </c>
      <c r="T70" t="str">
        <f t="shared" si="10"/>
        <v>-15.569727286472, -19.8193423535096</v>
      </c>
      <c r="U70" t="str">
        <f t="shared" si="10"/>
        <v>-23.6827625092707, -13.036620940828</v>
      </c>
      <c r="V70" t="str">
        <f t="shared" si="10"/>
        <v>1.46172799585231, 1.67189327192605</v>
      </c>
      <c r="W70" t="str">
        <f t="shared" si="10"/>
        <v>47.8612127129246, 1226.15066204209</v>
      </c>
      <c r="X70" t="str">
        <f t="shared" si="10"/>
        <v>4.67809039407452, 2.93735612737024</v>
      </c>
      <c r="Y70" t="str">
        <f t="shared" si="10"/>
        <v>4.67809039407452, 2.93735612737024</v>
      </c>
      <c r="Z70" t="str">
        <f t="shared" si="10"/>
        <v>25.6662900955718, 32.1114247803222</v>
      </c>
      <c r="AA70" t="str">
        <f t="shared" si="10"/>
        <v>571.557036733997, 515.93246500579</v>
      </c>
      <c r="AB70" t="str">
        <f t="shared" si="10"/>
        <v>13.9160919336623, 17.4753691086243</v>
      </c>
      <c r="AC70" t="str">
        <f t="shared" si="10"/>
        <v>61.0864763246526, 61.4176105563889</v>
      </c>
    </row>
    <row r="71" spans="4:35" x14ac:dyDescent="0.25">
      <c r="D71" s="24" t="s">
        <v>108</v>
      </c>
      <c r="E71" s="15">
        <f>D8</f>
        <v>-51.235455707298087</v>
      </c>
      <c r="F71" s="15">
        <f>H8</f>
        <v>-62.548929394455698</v>
      </c>
      <c r="G71" s="15">
        <f>L8</f>
        <v>-29.156329980948421</v>
      </c>
      <c r="H71" s="15">
        <f>P8</f>
        <v>-20.14824252048858</v>
      </c>
      <c r="I71" s="15">
        <f>E8</f>
        <v>8.3544356451857116</v>
      </c>
      <c r="J71" s="15">
        <f>I8</f>
        <v>680.05300552849906</v>
      </c>
      <c r="K71" s="15">
        <f>M8</f>
        <v>5.0594732558539857</v>
      </c>
      <c r="L71" s="15">
        <f>Q8</f>
        <v>5.0594732558539857</v>
      </c>
      <c r="M71">
        <f>ABS(D9)</f>
        <v>29.565770875244702</v>
      </c>
      <c r="N71">
        <f>ABS(H9)</f>
        <v>174.34969486485571</v>
      </c>
      <c r="O71">
        <f>ABS(L9)</f>
        <v>17.948937886908109</v>
      </c>
      <c r="P71">
        <f>ABS(P9)</f>
        <v>58.784313868132699</v>
      </c>
      <c r="R71" t="str">
        <f t="shared" si="9"/>
        <v>-1.63621933881482, 0.201112794160145, -51.2354557072981</v>
      </c>
      <c r="S71" t="str">
        <f t="shared" si="10"/>
        <v>-5.72112437140787, -112.759504852602, -62.5489293944557</v>
      </c>
      <c r="T71" t="str">
        <f t="shared" si="10"/>
        <v>-15.569727286472, -19.8193423535096, -29.1563299809484</v>
      </c>
      <c r="U71" t="str">
        <f t="shared" si="10"/>
        <v>-23.6827625092707, -13.036620940828, -20.1482425204886</v>
      </c>
      <c r="V71" t="str">
        <f t="shared" si="10"/>
        <v>1.46172799585231, 1.67189327192605, 8.35443564518571</v>
      </c>
      <c r="W71" t="str">
        <f t="shared" si="10"/>
        <v>47.8612127129246, 1226.15066204209, 680.053005528499</v>
      </c>
      <c r="X71" t="str">
        <f t="shared" si="10"/>
        <v>4.67809039407452, 2.93735612737024, 5.05947325585399</v>
      </c>
      <c r="Y71" t="str">
        <f t="shared" si="10"/>
        <v>4.67809039407452, 2.93735612737024, 5.05947325585399</v>
      </c>
      <c r="Z71" t="str">
        <f t="shared" si="10"/>
        <v>25.6662900955718, 32.1114247803222, 29.5657708752447</v>
      </c>
      <c r="AA71" t="str">
        <f t="shared" si="10"/>
        <v>571.557036733997, 515.93246500579, 174.349694864856</v>
      </c>
      <c r="AB71" t="str">
        <f t="shared" si="10"/>
        <v>13.9160919336623, 17.4753691086243, 17.9489378869081</v>
      </c>
      <c r="AC71" t="str">
        <f t="shared" si="10"/>
        <v>61.0864763246526, 61.4176105563889, 58.7843138681327</v>
      </c>
    </row>
    <row r="72" spans="4:35" x14ac:dyDescent="0.25">
      <c r="D72" s="6" t="s">
        <v>109</v>
      </c>
      <c r="E72" s="15">
        <f>D12</f>
        <v>5.1019595422656909</v>
      </c>
      <c r="F72" s="15">
        <f>H12</f>
        <v>91.100467735285505</v>
      </c>
      <c r="G72" s="15">
        <f>L12</f>
        <v>1.8659772659234202</v>
      </c>
      <c r="H72" s="15">
        <f>P12</f>
        <v>11.439029418882994</v>
      </c>
      <c r="I72" s="15">
        <f>E12</f>
        <v>1.2294298301700264</v>
      </c>
      <c r="J72" s="15">
        <f>I12</f>
        <v>1007.3533713223054</v>
      </c>
      <c r="K72" s="15">
        <f>M12</f>
        <v>2.5557997690690581</v>
      </c>
      <c r="L72" s="15">
        <f>Q12</f>
        <v>2.5557997690690581</v>
      </c>
      <c r="M72">
        <f>ABS(D13)</f>
        <v>0.43953814858591123</v>
      </c>
      <c r="N72">
        <f>ABS(H13)</f>
        <v>105.0928570968014</v>
      </c>
      <c r="O72">
        <f>ABS(L13)</f>
        <v>3.271602785499538</v>
      </c>
      <c r="P72">
        <f>ABS(P13)</f>
        <v>3.9553931377359639</v>
      </c>
      <c r="R72" t="str">
        <f t="shared" si="9"/>
        <v>-1.63621933881482, 0.201112794160145, -51.2354557072981, 5.10195954226569</v>
      </c>
      <c r="S72" t="str">
        <f t="shared" si="10"/>
        <v>-5.72112437140787, -112.759504852602, -62.5489293944557, 91.1004677352855</v>
      </c>
      <c r="T72" t="str">
        <f t="shared" si="10"/>
        <v>-15.569727286472, -19.8193423535096, -29.1563299809484, 1.86597726592342</v>
      </c>
      <c r="U72" t="str">
        <f t="shared" si="10"/>
        <v>-23.6827625092707, -13.036620940828, -20.1482425204886, 11.439029418883</v>
      </c>
      <c r="V72" t="str">
        <f t="shared" si="10"/>
        <v>1.46172799585231, 1.67189327192605, 8.35443564518571, 1.22942983017003</v>
      </c>
      <c r="W72" t="str">
        <f t="shared" si="10"/>
        <v>47.8612127129246, 1226.15066204209, 680.053005528499, 1007.35337132231</v>
      </c>
      <c r="X72" t="str">
        <f t="shared" si="10"/>
        <v>4.67809039407452, 2.93735612737024, 5.05947325585399, 2.55579976906906</v>
      </c>
      <c r="Y72" t="str">
        <f t="shared" si="10"/>
        <v>4.67809039407452, 2.93735612737024, 5.05947325585399, 2.55579976906906</v>
      </c>
      <c r="Z72" t="str">
        <f t="shared" si="10"/>
        <v>25.6662900955718, 32.1114247803222, 29.5657708752447, 0.439538148585911</v>
      </c>
      <c r="AA72" t="str">
        <f t="shared" si="10"/>
        <v>571.557036733997, 515.93246500579, 174.349694864856, 105.092857096801</v>
      </c>
      <c r="AB72" t="str">
        <f t="shared" si="10"/>
        <v>13.9160919336623, 17.4753691086243, 17.9489378869081, 3.27160278549954</v>
      </c>
      <c r="AC72" t="str">
        <f t="shared" si="10"/>
        <v>61.0864763246526, 61.4176105563889, 58.7843138681327, 3.95539313773596</v>
      </c>
    </row>
    <row r="73" spans="4:35" x14ac:dyDescent="0.25">
      <c r="D73" s="6" t="s">
        <v>110</v>
      </c>
      <c r="E73" s="15">
        <f>D14</f>
        <v>5.0479387236940081</v>
      </c>
      <c r="F73" s="15">
        <f>H14</f>
        <v>106.36625651455874</v>
      </c>
      <c r="G73" s="15">
        <f>L14</f>
        <v>6.7567011583504719</v>
      </c>
      <c r="H73" s="15">
        <f>P14</f>
        <v>22.752698472718983</v>
      </c>
      <c r="I73" s="15">
        <f>E14</f>
        <v>1.3618237757375549</v>
      </c>
      <c r="J73" s="15">
        <f>I14</f>
        <v>1170.6601933411575</v>
      </c>
      <c r="K73" s="15">
        <f>M14</f>
        <v>4.9174155817756233</v>
      </c>
      <c r="L73" s="15">
        <f>Q14</f>
        <v>4.9174155817756233</v>
      </c>
      <c r="M73">
        <f>ABS(D15)</f>
        <v>15.047223053179428</v>
      </c>
      <c r="N73">
        <f>ABS(H15)</f>
        <v>82.630412850784992</v>
      </c>
      <c r="O73">
        <f>ABS(L15)</f>
        <v>6.637554133698286</v>
      </c>
      <c r="P73">
        <f>ABS(P15)</f>
        <v>20.181394902127661</v>
      </c>
      <c r="R73" t="str">
        <f t="shared" si="9"/>
        <v>-1.63621933881482, 0.201112794160145, -51.2354557072981, 5.10195954226569, 5.04793872369401</v>
      </c>
      <c r="S73" t="str">
        <f t="shared" si="10"/>
        <v>-5.72112437140787, -112.759504852602, -62.5489293944557, 91.1004677352855, 106.366256514559</v>
      </c>
      <c r="T73" t="str">
        <f t="shared" si="10"/>
        <v>-15.569727286472, -19.8193423535096, -29.1563299809484, 1.86597726592342, 6.75670115835047</v>
      </c>
      <c r="U73" t="str">
        <f t="shared" si="10"/>
        <v>-23.6827625092707, -13.036620940828, -20.1482425204886, 11.439029418883, 22.752698472719</v>
      </c>
      <c r="V73" t="str">
        <f t="shared" si="10"/>
        <v>1.46172799585231, 1.67189327192605, 8.35443564518571, 1.22942983017003, 1.36182377573755</v>
      </c>
      <c r="W73" t="str">
        <f t="shared" si="10"/>
        <v>47.8612127129246, 1226.15066204209, 680.053005528499, 1007.35337132231, 1170.66019334116</v>
      </c>
      <c r="X73" t="str">
        <f t="shared" si="10"/>
        <v>4.67809039407452, 2.93735612737024, 5.05947325585399, 2.55579976906906, 4.91741558177562</v>
      </c>
      <c r="Y73" t="str">
        <f t="shared" si="10"/>
        <v>4.67809039407452, 2.93735612737024, 5.05947325585399, 2.55579976906906, 4.91741558177562</v>
      </c>
      <c r="Z73" t="str">
        <f t="shared" si="10"/>
        <v>25.6662900955718, 32.1114247803222, 29.5657708752447, 0.439538148585911, 15.0472230531794</v>
      </c>
      <c r="AA73" t="str">
        <f t="shared" si="10"/>
        <v>571.557036733997, 515.93246500579, 174.349694864856, 105.092857096801, 82.630412850785</v>
      </c>
      <c r="AB73" t="str">
        <f t="shared" si="10"/>
        <v>13.9160919336623, 17.4753691086243, 17.9489378869081, 3.27160278549954, 6.63755413369829</v>
      </c>
      <c r="AC73" t="str">
        <f t="shared" si="10"/>
        <v>61.0864763246526, 61.4176105563889, 58.7843138681327, 3.95539313773596, 20.1813949021277</v>
      </c>
    </row>
    <row r="74" spans="4:35" x14ac:dyDescent="0.25">
      <c r="D74" s="6" t="s">
        <v>111</v>
      </c>
      <c r="E74" s="15">
        <f>D16</f>
        <v>8.1121139282282737</v>
      </c>
      <c r="F74" s="15">
        <f>H16</f>
        <v>61.764174704344342</v>
      </c>
      <c r="G74" s="15">
        <f>L16</f>
        <v>4.1803202449995744</v>
      </c>
      <c r="H74" s="15">
        <f>P16</f>
        <v>13.429712430457815</v>
      </c>
      <c r="I74" s="15">
        <f>E16</f>
        <v>1.7512339315364136</v>
      </c>
      <c r="J74" s="15">
        <f>I16</f>
        <v>682.64797329597241</v>
      </c>
      <c r="K74" s="15">
        <f>M16</f>
        <v>2.8683316626229161</v>
      </c>
      <c r="L74" s="15">
        <f>Q16</f>
        <v>2.8683316626229161</v>
      </c>
      <c r="M74">
        <f>ABS(D17)</f>
        <v>7.2632880096514114</v>
      </c>
      <c r="N74">
        <f>ABS(H17)</f>
        <v>111.14809885872917</v>
      </c>
      <c r="O74">
        <f>ABS(L17)</f>
        <v>4.1250065582129061</v>
      </c>
      <c r="P74">
        <f>ABS(P17)</f>
        <v>4.3186234551363825</v>
      </c>
      <c r="R74" t="str">
        <f t="shared" si="9"/>
        <v>-1.63621933881482, 0.201112794160145, -51.2354557072981, 5.10195954226569, 5.04793872369401, 8.11211392822827</v>
      </c>
      <c r="S74" t="str">
        <f t="shared" si="10"/>
        <v>-5.72112437140787, -112.759504852602, -62.5489293944557, 91.1004677352855, 106.366256514559, 61.7641747043443</v>
      </c>
      <c r="T74" t="str">
        <f t="shared" si="10"/>
        <v>-15.569727286472, -19.8193423535096, -29.1563299809484, 1.86597726592342, 6.75670115835047, 4.18032024499957</v>
      </c>
      <c r="U74" t="str">
        <f t="shared" si="10"/>
        <v>-23.6827625092707, -13.036620940828, -20.1482425204886, 11.439029418883, 22.752698472719, 13.4297124304578</v>
      </c>
      <c r="V74" t="str">
        <f t="shared" si="10"/>
        <v>1.46172799585231, 1.67189327192605, 8.35443564518571, 1.22942983017003, 1.36182377573755, 1.75123393153641</v>
      </c>
      <c r="W74" t="str">
        <f t="shared" si="10"/>
        <v>47.8612127129246, 1226.15066204209, 680.053005528499, 1007.35337132231, 1170.66019334116, 682.647973295972</v>
      </c>
      <c r="X74" t="str">
        <f t="shared" si="10"/>
        <v>4.67809039407452, 2.93735612737024, 5.05947325585399, 2.55579976906906, 4.91741558177562, 2.86833166262292</v>
      </c>
      <c r="Y74" t="str">
        <f t="shared" si="10"/>
        <v>4.67809039407452, 2.93735612737024, 5.05947325585399, 2.55579976906906, 4.91741558177562, 2.86833166262292</v>
      </c>
      <c r="Z74" t="str">
        <f t="shared" si="10"/>
        <v>25.6662900955718, 32.1114247803222, 29.5657708752447, 0.439538148585911, 15.0472230531794, 7.26328800965141</v>
      </c>
      <c r="AA74" t="str">
        <f t="shared" si="10"/>
        <v>571.557036733997, 515.93246500579, 174.349694864856, 105.092857096801, 82.630412850785, 111.148098858729</v>
      </c>
      <c r="AB74" t="str">
        <f t="shared" si="10"/>
        <v>13.9160919336623, 17.4753691086243, 17.9489378869081, 3.27160278549954, 6.63755413369829, 4.12500655821291</v>
      </c>
      <c r="AC74" t="str">
        <f t="shared" si="10"/>
        <v>61.0864763246526, 61.4176105563889, 58.7843138681327, 3.95539313773596, 20.1813949021277, 4.31862345513638</v>
      </c>
    </row>
    <row r="75" spans="4:35" x14ac:dyDescent="0.25">
      <c r="D75" s="6" t="s">
        <v>58</v>
      </c>
      <c r="E75" s="15">
        <f>D18</f>
        <v>5.3111631621080999</v>
      </c>
      <c r="F75" s="15">
        <f>H18</f>
        <v>83.835239196717183</v>
      </c>
      <c r="G75" s="15">
        <f>L18</f>
        <v>2.769606289151354</v>
      </c>
      <c r="H75" s="15">
        <f>P18</f>
        <v>12.151201430994099</v>
      </c>
      <c r="I75" s="15">
        <f>E18</f>
        <v>1.2661279435837716</v>
      </c>
      <c r="J75" s="15">
        <f>I18</f>
        <v>913.32698785235368</v>
      </c>
      <c r="K75" s="15">
        <f>M18</f>
        <v>2.6065226032379538</v>
      </c>
      <c r="L75" s="15">
        <f>Q18</f>
        <v>2.6065226032379538</v>
      </c>
      <c r="M75">
        <f>ABS(D19)</f>
        <v>8.2883704384404044</v>
      </c>
      <c r="N75">
        <f>ABS(H19)</f>
        <v>216.73503792366901</v>
      </c>
      <c r="O75">
        <f>ABS(L19)</f>
        <v>3.9117429527887944</v>
      </c>
      <c r="P75">
        <f>ABS(P19)</f>
        <v>9.2420379500592222</v>
      </c>
      <c r="R75" t="str">
        <f t="shared" si="9"/>
        <v>-1.63621933881482, 0.201112794160145, -51.2354557072981, 5.10195954226569, 5.04793872369401, 8.11211392822827, 5.3111631621081</v>
      </c>
      <c r="S75" t="str">
        <f t="shared" si="10"/>
        <v>-5.72112437140787, -112.759504852602, -62.5489293944557, 91.1004677352855, 106.366256514559, 61.7641747043443, 83.8352391967172</v>
      </c>
      <c r="T75" t="str">
        <f t="shared" si="10"/>
        <v>-15.569727286472, -19.8193423535096, -29.1563299809484, 1.86597726592342, 6.75670115835047, 4.18032024499957, 2.76960628915135</v>
      </c>
      <c r="U75" t="str">
        <f t="shared" si="10"/>
        <v>-23.6827625092707, -13.036620940828, -20.1482425204886, 11.439029418883, 22.752698472719, 13.4297124304578, 12.1512014309941</v>
      </c>
      <c r="V75" t="str">
        <f t="shared" si="10"/>
        <v>1.46172799585231, 1.67189327192605, 8.35443564518571, 1.22942983017003, 1.36182377573755, 1.75123393153641, 1.26612794358377</v>
      </c>
      <c r="W75" t="str">
        <f t="shared" si="10"/>
        <v>47.8612127129246, 1226.15066204209, 680.053005528499, 1007.35337132231, 1170.66019334116, 682.647973295972, 913.326987852354</v>
      </c>
      <c r="X75" t="str">
        <f t="shared" si="10"/>
        <v>4.67809039407452, 2.93735612737024, 5.05947325585399, 2.55579976906906, 4.91741558177562, 2.86833166262292, 2.60652260323795</v>
      </c>
      <c r="Y75" t="str">
        <f t="shared" si="10"/>
        <v>4.67809039407452, 2.93735612737024, 5.05947325585399, 2.55579976906906, 4.91741558177562, 2.86833166262292, 2.60652260323795</v>
      </c>
      <c r="Z75" t="str">
        <f t="shared" si="10"/>
        <v>25.6662900955718, 32.1114247803222, 29.5657708752447, 0.439538148585911, 15.0472230531794, 7.26328800965141, 8.2883704384404</v>
      </c>
      <c r="AA75" t="str">
        <f t="shared" si="10"/>
        <v>571.557036733997, 515.93246500579, 174.349694864856, 105.092857096801, 82.630412850785, 111.148098858729, 216.735037923669</v>
      </c>
      <c r="AB75" t="str">
        <f t="shared" si="10"/>
        <v>13.9160919336623, 17.4753691086243, 17.9489378869081, 3.27160278549954, 6.63755413369829, 4.12500655821291, 3.91174295278879</v>
      </c>
      <c r="AC75" t="str">
        <f t="shared" si="10"/>
        <v>61.0864763246526, 61.4176105563889, 58.7843138681327, 3.95539313773596, 20.1813949021277, 4.31862345513638, 9.24203795005922</v>
      </c>
    </row>
    <row r="76" spans="4:35" x14ac:dyDescent="0.25">
      <c r="D76" s="6" t="s">
        <v>61</v>
      </c>
      <c r="E76" s="15">
        <f>D20</f>
        <v>1.6200486768202889</v>
      </c>
      <c r="F76" s="15">
        <f>H20</f>
        <v>13.56776455033091</v>
      </c>
      <c r="G76" s="15">
        <f>L20</f>
        <v>0.28053573689201899</v>
      </c>
      <c r="H76" s="15">
        <f>P20</f>
        <v>3.5258894236341858</v>
      </c>
      <c r="I76" s="15">
        <f>E20</f>
        <v>0.84838940435991106</v>
      </c>
      <c r="J76" s="15">
        <f>I20</f>
        <v>156.10134879961169</v>
      </c>
      <c r="K76" s="15">
        <f>M20</f>
        <v>1.021855750807602</v>
      </c>
      <c r="L76" s="15">
        <f>Q20</f>
        <v>1.021855750807602</v>
      </c>
      <c r="M76">
        <f>ABS(D21)</f>
        <v>4.3512164156399544</v>
      </c>
      <c r="N76">
        <f>ABS(H21)</f>
        <v>165.1568303576889</v>
      </c>
      <c r="O76">
        <f>ABS(L21)</f>
        <v>4.1626882771767084</v>
      </c>
      <c r="P76">
        <f>ABS(P21)</f>
        <v>9.8894158130094052</v>
      </c>
      <c r="R76" t="str">
        <f t="shared" si="9"/>
        <v>-1.63621933881482, 0.201112794160145, -51.2354557072981, 5.10195954226569, 5.04793872369401, 8.11211392822827, 5.3111631621081, 1.62004867682029</v>
      </c>
      <c r="S76" t="str">
        <f t="shared" si="10"/>
        <v>-5.72112437140787, -112.759504852602, -62.5489293944557, 91.1004677352855, 106.366256514559, 61.7641747043443, 83.8352391967172, 13.5677645503309</v>
      </c>
      <c r="T76" t="str">
        <f t="shared" si="10"/>
        <v>-15.569727286472, -19.8193423535096, -29.1563299809484, 1.86597726592342, 6.75670115835047, 4.18032024499957, 2.76960628915135, 0.280535736892019</v>
      </c>
      <c r="U76" t="str">
        <f t="shared" si="10"/>
        <v>-23.6827625092707, -13.036620940828, -20.1482425204886, 11.439029418883, 22.752698472719, 13.4297124304578, 12.1512014309941, 3.52588942363419</v>
      </c>
      <c r="V76" t="str">
        <f t="shared" si="10"/>
        <v>1.46172799585231, 1.67189327192605, 8.35443564518571, 1.22942983017003, 1.36182377573755, 1.75123393153641, 1.26612794358377, 0.848389404359911</v>
      </c>
      <c r="W76" t="str">
        <f t="shared" si="10"/>
        <v>47.8612127129246, 1226.15066204209, 680.053005528499, 1007.35337132231, 1170.66019334116, 682.647973295972, 913.326987852354, 156.101348799612</v>
      </c>
      <c r="X76" t="str">
        <f t="shared" si="10"/>
        <v>4.67809039407452, 2.93735612737024, 5.05947325585399, 2.55579976906906, 4.91741558177562, 2.86833166262292, 2.60652260323795, 1.0218557508076</v>
      </c>
      <c r="Y76" t="str">
        <f t="shared" si="10"/>
        <v>4.67809039407452, 2.93735612737024, 5.05947325585399, 2.55579976906906, 4.91741558177562, 2.86833166262292, 2.60652260323795, 1.0218557508076</v>
      </c>
      <c r="Z76" t="str">
        <f t="shared" si="10"/>
        <v>25.6662900955718, 32.1114247803222, 29.5657708752447, 0.439538148585911, 15.0472230531794, 7.26328800965141, 8.2883704384404, 4.35121641563995</v>
      </c>
      <c r="AA76" t="str">
        <f t="shared" si="10"/>
        <v>571.557036733997, 515.93246500579, 174.349694864856, 105.092857096801, 82.630412850785, 111.148098858729, 216.735037923669, 165.156830357689</v>
      </c>
      <c r="AB76" t="str">
        <f t="shared" si="10"/>
        <v>13.9160919336623, 17.4753691086243, 17.9489378869081, 3.27160278549954, 6.63755413369829, 4.12500655821291, 3.91174295278879, 4.16268827717671</v>
      </c>
      <c r="AC76" t="str">
        <f t="shared" si="10"/>
        <v>61.0864763246526, 61.4176105563889, 58.7843138681327, 3.95539313773596, 20.1813949021277, 4.31862345513638, 9.24203795005922, 9.88941581300941</v>
      </c>
    </row>
    <row r="77" spans="4:35" x14ac:dyDescent="0.25">
      <c r="D77" s="6" t="s">
        <v>112</v>
      </c>
      <c r="E77" s="15">
        <f>D22</f>
        <v>-2.2269971866779281</v>
      </c>
      <c r="F77" s="15">
        <f>H22</f>
        <v>-36.831088059715157</v>
      </c>
      <c r="G77" s="15">
        <f>L22</f>
        <v>-2.7566510086231419</v>
      </c>
      <c r="H77" s="15">
        <f>P22</f>
        <v>-0.9184014080519044</v>
      </c>
      <c r="I77" s="15">
        <f>E22</f>
        <v>0.86132176332943344</v>
      </c>
      <c r="J77" s="15">
        <f>I22</f>
        <v>404.77181797160279</v>
      </c>
      <c r="K77" s="15">
        <f>M22</f>
        <v>0.70159226024212706</v>
      </c>
      <c r="L77" s="15">
        <f>Q22</f>
        <v>0.70159226024212706</v>
      </c>
      <c r="M77">
        <f>ABS(D23)</f>
        <v>7.8943718127870675</v>
      </c>
      <c r="N77">
        <f>ABS(H23)</f>
        <v>68.184242368516962</v>
      </c>
      <c r="O77">
        <f>ABS(L23)</f>
        <v>5.1227659671810555</v>
      </c>
      <c r="P77">
        <f>ABS(P23)</f>
        <v>0.16936310514724667</v>
      </c>
      <c r="R77" t="str">
        <f t="shared" si="9"/>
        <v>-1.63621933881482, 0.201112794160145, -51.2354557072981, 5.10195954226569, 5.04793872369401, 8.11211392822827, 5.3111631621081, 1.62004867682029, -2.22699718667793</v>
      </c>
      <c r="S77" t="str">
        <f t="shared" si="10"/>
        <v>-5.72112437140787, -112.759504852602, -62.5489293944557, 91.1004677352855, 106.366256514559, 61.7641747043443, 83.8352391967172, 13.5677645503309, -36.8310880597152</v>
      </c>
      <c r="T77" t="str">
        <f t="shared" si="10"/>
        <v>-15.569727286472, -19.8193423535096, -29.1563299809484, 1.86597726592342, 6.75670115835047, 4.18032024499957, 2.76960628915135, 0.280535736892019, -2.75665100862314</v>
      </c>
      <c r="U77" t="str">
        <f t="shared" si="10"/>
        <v>-23.6827625092707, -13.036620940828, -20.1482425204886, 11.439029418883, 22.752698472719, 13.4297124304578, 12.1512014309941, 3.52588942363419, -0.918401408051904</v>
      </c>
      <c r="V77" t="str">
        <f t="shared" si="10"/>
        <v>1.46172799585231, 1.67189327192605, 8.35443564518571, 1.22942983017003, 1.36182377573755, 1.75123393153641, 1.26612794358377, 0.848389404359911, 0.861321763329433</v>
      </c>
      <c r="W77" t="str">
        <f t="shared" si="10"/>
        <v>47.8612127129246, 1226.15066204209, 680.053005528499, 1007.35337132231, 1170.66019334116, 682.647973295972, 913.326987852354, 156.101348799612, 404.771817971603</v>
      </c>
      <c r="X77" t="str">
        <f t="shared" si="10"/>
        <v>4.67809039407452, 2.93735612737024, 5.05947325585399, 2.55579976906906, 4.91741558177562, 2.86833166262292, 2.60652260323795, 1.0218557508076, 0.701592260242127</v>
      </c>
      <c r="Y77" t="str">
        <f t="shared" si="10"/>
        <v>4.67809039407452, 2.93735612737024, 5.05947325585399, 2.55579976906906, 4.91741558177562, 2.86833166262292, 2.60652260323795, 1.0218557508076, 0.701592260242127</v>
      </c>
      <c r="Z77" t="str">
        <f t="shared" si="10"/>
        <v>25.6662900955718, 32.1114247803222, 29.5657708752447, 0.439538148585911, 15.0472230531794, 7.26328800965141, 8.2883704384404, 4.35121641563995, 7.89437181278707</v>
      </c>
      <c r="AA77" t="str">
        <f t="shared" si="10"/>
        <v>571.557036733997, 515.93246500579, 174.349694864856, 105.092857096801, 82.630412850785, 111.148098858729, 216.735037923669, 165.156830357689, 68.184242368517</v>
      </c>
      <c r="AB77" t="str">
        <f t="shared" si="10"/>
        <v>13.9160919336623, 17.4753691086243, 17.9489378869081, 3.27160278549954, 6.63755413369829, 4.12500655821291, 3.91174295278879, 4.16268827717671, 5.12276596718106</v>
      </c>
      <c r="AC77" t="str">
        <f t="shared" si="10"/>
        <v>61.0864763246526, 61.4176105563889, 58.7843138681327, 3.95539313773596, 20.1813949021277, 4.31862345513638, 9.24203795005922, 9.88941581300941, 0.169363105147247</v>
      </c>
    </row>
    <row r="78" spans="4:35" x14ac:dyDescent="0.25">
      <c r="D78" s="6" t="s">
        <v>113</v>
      </c>
      <c r="E78" s="15">
        <f>D24</f>
        <v>-3.7249042450398679</v>
      </c>
      <c r="F78" s="15">
        <f>H24</f>
        <v>-47.709274633612722</v>
      </c>
      <c r="G78" s="15">
        <f>L24</f>
        <v>-3.6025967653112181</v>
      </c>
      <c r="H78" s="15">
        <f>P24</f>
        <v>-2.7674651979326996</v>
      </c>
      <c r="I78" s="15">
        <f>E24</f>
        <v>1.0384151244531723</v>
      </c>
      <c r="J78" s="15">
        <f>I24</f>
        <v>531.81709366602922</v>
      </c>
      <c r="K78" s="15">
        <f>M24</f>
        <v>0.91880889836342838</v>
      </c>
      <c r="L78" s="15">
        <f>Q24</f>
        <v>0.91880889836342838</v>
      </c>
      <c r="M78">
        <f>ABS(D25)</f>
        <v>13.922745017511433</v>
      </c>
      <c r="N78">
        <f>ABS(H25)</f>
        <v>108.35555548938643</v>
      </c>
      <c r="O78">
        <f>ABS(L25)</f>
        <v>6.2066302062840597</v>
      </c>
      <c r="P78">
        <f>ABS(P25)</f>
        <v>4.736045966917664</v>
      </c>
      <c r="R78" s="27" t="s">
        <v>198</v>
      </c>
      <c r="S78" s="27" t="s">
        <v>199</v>
      </c>
      <c r="T78" s="27" t="s">
        <v>200</v>
      </c>
      <c r="U78" s="27" t="s">
        <v>201</v>
      </c>
      <c r="V78" s="45" t="s">
        <v>234</v>
      </c>
      <c r="W78" s="45" t="s">
        <v>235</v>
      </c>
      <c r="X78" s="45" t="s">
        <v>236</v>
      </c>
      <c r="Y78" s="45" t="s">
        <v>236</v>
      </c>
      <c r="Z78" s="29" t="s">
        <v>202</v>
      </c>
      <c r="AA78" s="29" t="s">
        <v>203</v>
      </c>
      <c r="AB78" s="29" t="s">
        <v>204</v>
      </c>
      <c r="AC78" s="29" t="s">
        <v>205</v>
      </c>
    </row>
    <row r="79" spans="4:35" x14ac:dyDescent="0.25">
      <c r="D79" s="6" t="s">
        <v>114</v>
      </c>
      <c r="E79" s="15">
        <f>D28</f>
        <v>-49.599236368483261</v>
      </c>
      <c r="F79" s="15">
        <f>H28</f>
        <v>-56.827805023047816</v>
      </c>
      <c r="G79" s="15">
        <f>L28</f>
        <v>-13.586602694476431</v>
      </c>
      <c r="H79" s="15">
        <f>P28</f>
        <v>3.5345199887820922</v>
      </c>
      <c r="I79" s="15">
        <f>E28</f>
        <v>10.759055479764466</v>
      </c>
      <c r="J79" s="15">
        <f>I28</f>
        <v>114.93833143437313</v>
      </c>
      <c r="K79" s="15">
        <f>M28</f>
        <v>1.8881815724334683</v>
      </c>
      <c r="L79" s="15">
        <f>Q28</f>
        <v>1.8881815724334683</v>
      </c>
      <c r="M79" s="15"/>
      <c r="N79" s="15"/>
      <c r="O79" s="15"/>
      <c r="P79" s="15"/>
      <c r="Q79" s="15"/>
      <c r="R79" s="15"/>
      <c r="Y79" s="14"/>
    </row>
    <row r="80" spans="4:35" x14ac:dyDescent="0.25">
      <c r="D80" s="6" t="s">
        <v>115</v>
      </c>
      <c r="E80" s="15">
        <f>D29</f>
        <v>-51.436568501458225</v>
      </c>
      <c r="F80" s="15">
        <f>H29</f>
        <v>50.210575458146437</v>
      </c>
      <c r="G80" s="15">
        <f>L29</f>
        <v>-9.336987627438802</v>
      </c>
      <c r="H80" s="15">
        <f>P29</f>
        <v>-7.1116215796605342</v>
      </c>
      <c r="I80" s="15">
        <f>E29</f>
        <v>10.883477286888903</v>
      </c>
      <c r="J80" s="15">
        <f>I29</f>
        <v>76.367177861424707</v>
      </c>
      <c r="K80" s="15">
        <f>M29</f>
        <v>2.405560329841252</v>
      </c>
      <c r="L80" s="15">
        <f>Q29</f>
        <v>2.405560329841252</v>
      </c>
      <c r="M80" s="15"/>
      <c r="N80" s="15"/>
      <c r="O80" s="15"/>
      <c r="Y80" s="14"/>
    </row>
    <row r="81" spans="4:35" ht="15.75" thickBot="1" x14ac:dyDescent="0.3">
      <c r="D81" s="8" t="s">
        <v>116</v>
      </c>
      <c r="E81" s="16">
        <f>D30</f>
        <v>-1.8373321329749606</v>
      </c>
      <c r="F81" s="16">
        <f>H30</f>
        <v>107.03838048119424</v>
      </c>
      <c r="G81" s="16">
        <f>L30</f>
        <v>4.2496150670376283</v>
      </c>
      <c r="H81" s="16">
        <f>P30</f>
        <v>-10.646141568442626</v>
      </c>
      <c r="I81" s="16">
        <f>E30</f>
        <v>2.4870942733608863</v>
      </c>
      <c r="J81" s="16">
        <f>I30</f>
        <v>116.8643409844708</v>
      </c>
      <c r="K81" s="16">
        <f>M30</f>
        <v>2.1716119161183038</v>
      </c>
      <c r="L81" s="16">
        <f>Q30</f>
        <v>2.1716119161183038</v>
      </c>
      <c r="M81" s="16"/>
      <c r="N81" s="16"/>
      <c r="O81" s="16"/>
      <c r="P81" s="9"/>
      <c r="Q81" s="16"/>
      <c r="R81" s="16"/>
      <c r="S81" s="9"/>
      <c r="T81" s="9"/>
      <c r="U81" s="9"/>
      <c r="V81" s="9"/>
      <c r="W81" s="9"/>
      <c r="X81" s="9"/>
      <c r="Y81" s="17"/>
    </row>
    <row r="84" spans="4:35" ht="15.75" thickBot="1" x14ac:dyDescent="0.3">
      <c r="D84" s="4" t="s">
        <v>152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4:35" x14ac:dyDescent="0.25">
      <c r="D85" s="5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3"/>
    </row>
    <row r="86" spans="4:35" x14ac:dyDescent="0.25">
      <c r="D86" s="6"/>
      <c r="E86" t="s">
        <v>97</v>
      </c>
      <c r="F86" t="s">
        <v>97</v>
      </c>
      <c r="G86" t="s">
        <v>98</v>
      </c>
      <c r="H86" t="s">
        <v>97</v>
      </c>
      <c r="I86" t="s">
        <v>22</v>
      </c>
      <c r="J86" t="s">
        <v>22</v>
      </c>
      <c r="K86" t="s">
        <v>22</v>
      </c>
      <c r="L86" t="s">
        <v>22</v>
      </c>
      <c r="M86" t="s">
        <v>99</v>
      </c>
      <c r="N86" t="s">
        <v>99</v>
      </c>
      <c r="O86" t="s">
        <v>99</v>
      </c>
      <c r="P86" t="s">
        <v>99</v>
      </c>
      <c r="Y86" s="14"/>
    </row>
    <row r="87" spans="4:35" x14ac:dyDescent="0.25">
      <c r="D87" s="6" t="s">
        <v>101</v>
      </c>
      <c r="E87" t="s">
        <v>102</v>
      </c>
      <c r="F87" t="s">
        <v>103</v>
      </c>
      <c r="G87" t="s">
        <v>104</v>
      </c>
      <c r="H87" t="s">
        <v>17</v>
      </c>
      <c r="I87" t="s">
        <v>102</v>
      </c>
      <c r="J87" t="s">
        <v>103</v>
      </c>
      <c r="K87" t="s">
        <v>104</v>
      </c>
      <c r="L87" t="s">
        <v>17</v>
      </c>
      <c r="M87" t="s">
        <v>102</v>
      </c>
      <c r="N87" t="s">
        <v>103</v>
      </c>
      <c r="O87" t="s">
        <v>104</v>
      </c>
      <c r="P87" t="s">
        <v>17</v>
      </c>
      <c r="R87" s="25" t="s">
        <v>105</v>
      </c>
      <c r="Y87" s="14"/>
    </row>
    <row r="88" spans="4:35" x14ac:dyDescent="0.25">
      <c r="D88" s="24" t="s">
        <v>106</v>
      </c>
      <c r="E88" s="15">
        <f xml:space="preserve"> D35</f>
        <v>0.81770129343227349</v>
      </c>
      <c r="F88" s="15">
        <f xml:space="preserve"> H35</f>
        <v>-9.0160377201644888</v>
      </c>
      <c r="G88" s="15">
        <f xml:space="preserve"> L35</f>
        <v>-15.597852315706572</v>
      </c>
      <c r="H88" s="15">
        <f xml:space="preserve"> P35</f>
        <v>-6.0428928798927783</v>
      </c>
      <c r="I88" s="15">
        <f xml:space="preserve"> E35</f>
        <v>1.5422637513804851</v>
      </c>
      <c r="J88" s="15">
        <f xml:space="preserve"> I35</f>
        <v>18.049141794019341</v>
      </c>
      <c r="K88" s="15">
        <f xml:space="preserve"> M35</f>
        <v>2.2495547301660919</v>
      </c>
      <c r="L88" s="15">
        <f xml:space="preserve"> Q35</f>
        <v>1.071815593417333</v>
      </c>
      <c r="M88">
        <f>ABS(D36)</f>
        <v>19.88044854148729</v>
      </c>
      <c r="N88">
        <f>ABS(H9)</f>
        <v>174.34969486485571</v>
      </c>
      <c r="O88">
        <f>ABS(L9)</f>
        <v>17.948937886908109</v>
      </c>
      <c r="P88">
        <f>ABS(P9)</f>
        <v>58.784313868132699</v>
      </c>
      <c r="R88" s="15">
        <f>E88</f>
        <v>0.81770129343227349</v>
      </c>
      <c r="S88" s="15">
        <f t="shared" ref="S88:AC88" si="11">F88</f>
        <v>-9.0160377201644888</v>
      </c>
      <c r="T88" s="15">
        <f t="shared" si="11"/>
        <v>-15.597852315706572</v>
      </c>
      <c r="U88" s="15">
        <f t="shared" si="11"/>
        <v>-6.0428928798927783</v>
      </c>
      <c r="V88" s="15">
        <f t="shared" si="11"/>
        <v>1.5422637513804851</v>
      </c>
      <c r="W88" s="15">
        <f t="shared" si="11"/>
        <v>18.049141794019341</v>
      </c>
      <c r="X88" s="15">
        <f t="shared" si="11"/>
        <v>2.2495547301660919</v>
      </c>
      <c r="Y88" s="28">
        <f t="shared" si="11"/>
        <v>1.071815593417333</v>
      </c>
      <c r="Z88" s="15">
        <f t="shared" si="11"/>
        <v>19.88044854148729</v>
      </c>
      <c r="AA88" s="15">
        <f t="shared" si="11"/>
        <v>174.34969486485571</v>
      </c>
      <c r="AB88" s="15">
        <f t="shared" si="11"/>
        <v>17.948937886908109</v>
      </c>
      <c r="AC88" s="15">
        <f t="shared" si="11"/>
        <v>58.784313868132699</v>
      </c>
      <c r="AD88" s="15"/>
      <c r="AE88" s="15"/>
      <c r="AF88" s="15"/>
      <c r="AG88" s="15"/>
      <c r="AH88" s="15"/>
      <c r="AI88" s="15"/>
    </row>
    <row r="89" spans="4:35" x14ac:dyDescent="0.25">
      <c r="D89" s="24" t="s">
        <v>107</v>
      </c>
      <c r="E89" s="15">
        <f>D37</f>
        <v>3.4874378017237677</v>
      </c>
      <c r="F89" s="15">
        <f>H37</f>
        <v>-41.839825226330838</v>
      </c>
      <c r="G89" s="15">
        <f>L37</f>
        <v>-22.255968030746601</v>
      </c>
      <c r="H89" s="15">
        <f>P37</f>
        <v>-11.920803303233248</v>
      </c>
      <c r="I89" s="15">
        <f>E37</f>
        <v>2.1200845926954379</v>
      </c>
      <c r="J89" s="15">
        <f>I37</f>
        <v>90.88039399954252</v>
      </c>
      <c r="K89" s="15">
        <f>M37</f>
        <v>3.1921069525464718</v>
      </c>
      <c r="L89" s="15">
        <f>Q37</f>
        <v>1.7211251392803057</v>
      </c>
      <c r="M89">
        <f>ABS(E38)</f>
        <v>5.4645974830165276</v>
      </c>
      <c r="N89">
        <f>ABS(H12)</f>
        <v>91.100467735285505</v>
      </c>
      <c r="O89">
        <f>ABS(L12)</f>
        <v>1.8659772659234202</v>
      </c>
      <c r="P89">
        <f>ABS(P12)</f>
        <v>11.439029418882994</v>
      </c>
      <c r="R89" t="str">
        <f t="shared" ref="R89:R96" si="12">_xlfn.CONCAT(R88,", ",E89)</f>
        <v>0.817701293432273, 3.48743780172377</v>
      </c>
      <c r="S89" t="str">
        <f t="shared" ref="S89:AC96" si="13">_xlfn.CONCAT(S88,", ",F89)</f>
        <v>-9.01603772016449, -41.8398252263308</v>
      </c>
      <c r="T89" t="str">
        <f t="shared" si="13"/>
        <v>-15.5978523157066, -22.2559680307466</v>
      </c>
      <c r="U89" t="str">
        <f t="shared" si="13"/>
        <v>-6.04289287989278, -11.9208033032332</v>
      </c>
      <c r="V89" t="str">
        <f t="shared" si="13"/>
        <v>1.54226375138049, 2.12008459269544</v>
      </c>
      <c r="W89" t="str">
        <f t="shared" si="13"/>
        <v>18.0491417940193, 90.8803939995425</v>
      </c>
      <c r="X89" t="str">
        <f t="shared" si="13"/>
        <v>2.24955473016609, 3.19210695254647</v>
      </c>
      <c r="Y89" s="14" t="str">
        <f t="shared" si="13"/>
        <v>1.07181559341733, 1.72112513928031</v>
      </c>
      <c r="Z89" t="str">
        <f t="shared" si="13"/>
        <v>19.8804485414873, 5.46459748301653</v>
      </c>
      <c r="AA89" t="str">
        <f t="shared" si="13"/>
        <v>174.349694864856, 91.1004677352855</v>
      </c>
      <c r="AB89" t="str">
        <f t="shared" si="13"/>
        <v>17.9489378869081, 1.86597726592342</v>
      </c>
      <c r="AC89" t="str">
        <f t="shared" si="13"/>
        <v>58.7843138681327, 11.439029418883</v>
      </c>
    </row>
    <row r="90" spans="4:35" x14ac:dyDescent="0.25">
      <c r="D90" s="24" t="s">
        <v>108</v>
      </c>
      <c r="E90" s="15">
        <f>D39</f>
        <v>-40.077191300765662</v>
      </c>
      <c r="F90" s="15">
        <f>H39</f>
        <v>19.078568069145742</v>
      </c>
      <c r="G90" s="15">
        <f>L39</f>
        <v>-31.218184494467319</v>
      </c>
      <c r="H90" s="15">
        <f>P39</f>
        <v>-9.9401579662895045</v>
      </c>
      <c r="I90" s="15">
        <f>E39</f>
        <v>6.0230750546064407</v>
      </c>
      <c r="J90" s="15">
        <f>I39</f>
        <v>54.393552145286101</v>
      </c>
      <c r="K90" s="15">
        <f>M39</f>
        <v>4.421389728032846</v>
      </c>
      <c r="L90" s="15">
        <f>Q39</f>
        <v>2.6373258325301716</v>
      </c>
      <c r="M90">
        <f>ABS(E40)</f>
        <v>3.5507553573053756</v>
      </c>
      <c r="N90">
        <f>ABS(H13)</f>
        <v>105.0928570968014</v>
      </c>
      <c r="O90">
        <f>ABS(L13)</f>
        <v>3.271602785499538</v>
      </c>
      <c r="P90">
        <f>ABS(P13)</f>
        <v>3.9553931377359639</v>
      </c>
      <c r="R90" t="str">
        <f t="shared" si="12"/>
        <v>0.817701293432273, 3.48743780172377, -40.0771913007657</v>
      </c>
      <c r="S90" t="str">
        <f t="shared" si="13"/>
        <v>-9.01603772016449, -41.8398252263308, 19.0785680691457</v>
      </c>
      <c r="T90" t="str">
        <f t="shared" si="13"/>
        <v>-15.5978523157066, -22.2559680307466, -31.2181844944673</v>
      </c>
      <c r="U90" t="str">
        <f t="shared" si="13"/>
        <v>-6.04289287989278, -11.9208033032332, -9.9401579662895</v>
      </c>
      <c r="V90" t="str">
        <f t="shared" si="13"/>
        <v>1.54226375138049, 2.12008459269544, 6.02307505460644</v>
      </c>
      <c r="W90" t="str">
        <f t="shared" si="13"/>
        <v>18.0491417940193, 90.8803939995425, 54.3935521452861</v>
      </c>
      <c r="X90" t="str">
        <f t="shared" si="13"/>
        <v>2.24955473016609, 3.19210695254647, 4.42138972803285</v>
      </c>
      <c r="Y90" s="14" t="str">
        <f t="shared" si="13"/>
        <v>1.07181559341733, 1.72112513928031, 2.63732583253017</v>
      </c>
      <c r="Z90" t="str">
        <f t="shared" si="13"/>
        <v>19.8804485414873, 5.46459748301653, 3.55075535730538</v>
      </c>
      <c r="AA90" t="str">
        <f t="shared" si="13"/>
        <v>174.349694864856, 91.1004677352855, 105.092857096801</v>
      </c>
      <c r="AB90" t="str">
        <f t="shared" si="13"/>
        <v>17.9489378869081, 1.86597726592342, 3.27160278549954</v>
      </c>
      <c r="AC90" t="str">
        <f t="shared" si="13"/>
        <v>58.7843138681327, 11.439029418883, 3.95539313773596</v>
      </c>
    </row>
    <row r="91" spans="4:35" x14ac:dyDescent="0.25">
      <c r="D91" s="6" t="s">
        <v>109</v>
      </c>
      <c r="E91" s="15">
        <f>D43</f>
        <v>3.901587278257896</v>
      </c>
      <c r="F91" s="15">
        <f>H43</f>
        <v>13.528645306590608</v>
      </c>
      <c r="G91" s="15">
        <f>L43</f>
        <v>2.0131827657836121</v>
      </c>
      <c r="H91" s="15">
        <f>P43</f>
        <v>6.3081832241517972</v>
      </c>
      <c r="I91" s="15">
        <f>E43</f>
        <v>1.307552898897026</v>
      </c>
      <c r="J91" s="15">
        <f>I43</f>
        <v>30.357732522911782</v>
      </c>
      <c r="K91" s="15">
        <f>M43</f>
        <v>0.72031547516726535</v>
      </c>
      <c r="L91" s="15">
        <f>Q43</f>
        <v>1.0242483773177955</v>
      </c>
      <c r="M91">
        <f>ABS(E44)</f>
        <v>1.5625235790166649</v>
      </c>
      <c r="N91">
        <f>ABS(H17)</f>
        <v>111.14809885872917</v>
      </c>
      <c r="O91">
        <f>ABS(L17)</f>
        <v>4.1250065582129061</v>
      </c>
      <c r="P91">
        <f>ABS(P17)</f>
        <v>4.3186234551363825</v>
      </c>
      <c r="R91" t="str">
        <f t="shared" si="12"/>
        <v>0.817701293432273, 3.48743780172377, -40.0771913007657, 3.9015872782579</v>
      </c>
      <c r="S91" t="str">
        <f t="shared" si="13"/>
        <v>-9.01603772016449, -41.8398252263308, 19.0785680691457, 13.5286453065906</v>
      </c>
      <c r="T91" t="str">
        <f t="shared" si="13"/>
        <v>-15.5978523157066, -22.2559680307466, -31.2181844944673, 2.01318276578361</v>
      </c>
      <c r="U91" t="str">
        <f t="shared" si="13"/>
        <v>-6.04289287989278, -11.9208033032332, -9.9401579662895, 6.3081832241518</v>
      </c>
      <c r="V91" t="str">
        <f t="shared" si="13"/>
        <v>1.54226375138049, 2.12008459269544, 6.02307505460644, 1.30755289889703</v>
      </c>
      <c r="W91" t="str">
        <f t="shared" si="13"/>
        <v>18.0491417940193, 90.8803939995425, 54.3935521452861, 30.3577325229118</v>
      </c>
      <c r="X91" t="str">
        <f t="shared" si="13"/>
        <v>2.24955473016609, 3.19210695254647, 4.42138972803285, 0.720315475167265</v>
      </c>
      <c r="Y91" s="14" t="str">
        <f t="shared" si="13"/>
        <v>1.07181559341733, 1.72112513928031, 2.63732583253017, 1.0242483773178</v>
      </c>
      <c r="Z91" t="str">
        <f t="shared" si="13"/>
        <v>19.8804485414873, 5.46459748301653, 3.55075535730538, 1.56252357901666</v>
      </c>
      <c r="AA91" t="str">
        <f t="shared" si="13"/>
        <v>174.349694864856, 91.1004677352855, 105.092857096801, 111.148098858729</v>
      </c>
      <c r="AB91" t="str">
        <f t="shared" si="13"/>
        <v>17.9489378869081, 1.86597726592342, 3.27160278549954, 4.12500655821291</v>
      </c>
      <c r="AC91" t="str">
        <f t="shared" si="13"/>
        <v>58.7843138681327, 11.439029418883, 3.95539313773596, 4.31862345513638</v>
      </c>
    </row>
    <row r="92" spans="4:35" x14ac:dyDescent="0.25">
      <c r="D92" s="6" t="s">
        <v>110</v>
      </c>
      <c r="E92" s="15">
        <f>D45</f>
        <v>3.0480450455206682</v>
      </c>
      <c r="F92" s="15">
        <f>H45</f>
        <v>19.024740149443375</v>
      </c>
      <c r="G92" s="15">
        <f>L45</f>
        <v>6.1559518405261739</v>
      </c>
      <c r="H92" s="15">
        <f>P45</f>
        <v>11.923559882140545</v>
      </c>
      <c r="I92" s="15">
        <f>E45</f>
        <v>1.2767822117198915</v>
      </c>
      <c r="J92" s="15">
        <f>I45</f>
        <v>44.23708297171676</v>
      </c>
      <c r="K92" s="15">
        <f>M45</f>
        <v>1.0071724097983303</v>
      </c>
      <c r="L92" s="15">
        <f>Q45</f>
        <v>1.8161138529317808</v>
      </c>
      <c r="M92">
        <f>ABS(E46)</f>
        <v>1.7216835671242456</v>
      </c>
      <c r="N92">
        <f>ABS(H19)</f>
        <v>216.73503792366901</v>
      </c>
      <c r="O92">
        <f>ABS(L19)</f>
        <v>3.9117429527887944</v>
      </c>
      <c r="P92">
        <f>ABS(P19)</f>
        <v>9.2420379500592222</v>
      </c>
      <c r="R92" t="str">
        <f t="shared" si="12"/>
        <v>0.817701293432273, 3.48743780172377, -40.0771913007657, 3.9015872782579, 3.04804504552067</v>
      </c>
      <c r="S92" t="str">
        <f t="shared" si="13"/>
        <v>-9.01603772016449, -41.8398252263308, 19.0785680691457, 13.5286453065906, 19.0247401494434</v>
      </c>
      <c r="T92" t="str">
        <f t="shared" si="13"/>
        <v>-15.5978523157066, -22.2559680307466, -31.2181844944673, 2.01318276578361, 6.15595184052617</v>
      </c>
      <c r="U92" t="str">
        <f t="shared" si="13"/>
        <v>-6.04289287989278, -11.9208033032332, -9.9401579662895, 6.3081832241518, 11.9235598821405</v>
      </c>
      <c r="V92" t="str">
        <f t="shared" si="13"/>
        <v>1.54226375138049, 2.12008459269544, 6.02307505460644, 1.30755289889703, 1.27678221171989</v>
      </c>
      <c r="W92" t="str">
        <f t="shared" si="13"/>
        <v>18.0491417940193, 90.8803939995425, 54.3935521452861, 30.3577325229118, 44.2370829717168</v>
      </c>
      <c r="X92" t="str">
        <f t="shared" si="13"/>
        <v>2.24955473016609, 3.19210695254647, 4.42138972803285, 0.720315475167265, 1.00717240979833</v>
      </c>
      <c r="Y92" s="14" t="str">
        <f t="shared" si="13"/>
        <v>1.07181559341733, 1.72112513928031, 2.63732583253017, 1.0242483773178, 1.81611385293178</v>
      </c>
      <c r="Z92" t="str">
        <f t="shared" si="13"/>
        <v>19.8804485414873, 5.46459748301653, 3.55075535730538, 1.56252357901666, 1.72168356712425</v>
      </c>
      <c r="AA92" t="str">
        <f t="shared" si="13"/>
        <v>174.349694864856, 91.1004677352855, 105.092857096801, 111.148098858729, 216.735037923669</v>
      </c>
      <c r="AB92" t="str">
        <f t="shared" si="13"/>
        <v>17.9489378869081, 1.86597726592342, 3.27160278549954, 4.12500655821291, 3.91174295278879</v>
      </c>
      <c r="AC92" t="str">
        <f t="shared" si="13"/>
        <v>58.7843138681327, 11.439029418883, 3.95539313773596, 4.31862345513638, 9.24203795005922</v>
      </c>
    </row>
    <row r="93" spans="4:35" x14ac:dyDescent="0.25">
      <c r="D93" s="6" t="s">
        <v>111</v>
      </c>
      <c r="E93" s="15">
        <f>D47</f>
        <v>2.6874575948256303</v>
      </c>
      <c r="F93" s="15">
        <f>H47</f>
        <v>19.588231911819754</v>
      </c>
      <c r="G93" s="15">
        <f>L47</f>
        <v>3.440737763849588</v>
      </c>
      <c r="H93" s="15">
        <f>P47</f>
        <v>7.228612811067916</v>
      </c>
      <c r="I93" s="15">
        <f>E47</f>
        <v>0.99716846266580161</v>
      </c>
      <c r="J93" s="15">
        <f>I47</f>
        <v>43.791259920106143</v>
      </c>
      <c r="K93" s="15">
        <f>M47</f>
        <v>0.77017629574442581</v>
      </c>
      <c r="L93" s="15">
        <f>Q47</f>
        <v>0.88792918859983871</v>
      </c>
      <c r="M93">
        <f>ABS(E48)</f>
        <v>1.4414588676001336</v>
      </c>
      <c r="N93">
        <f>ABS(H21)</f>
        <v>165.1568303576889</v>
      </c>
      <c r="O93">
        <f>ABS(L21)</f>
        <v>4.1626882771767084</v>
      </c>
      <c r="P93">
        <f>ABS(P21)</f>
        <v>9.8894158130094052</v>
      </c>
      <c r="R93" t="str">
        <f t="shared" si="12"/>
        <v>0.817701293432273, 3.48743780172377, -40.0771913007657, 3.9015872782579, 3.04804504552067, 2.68745759482563</v>
      </c>
      <c r="S93" t="str">
        <f t="shared" si="13"/>
        <v>-9.01603772016449, -41.8398252263308, 19.0785680691457, 13.5286453065906, 19.0247401494434, 19.5882319118198</v>
      </c>
      <c r="T93" t="str">
        <f t="shared" si="13"/>
        <v>-15.5978523157066, -22.2559680307466, -31.2181844944673, 2.01318276578361, 6.15595184052617, 3.44073776384959</v>
      </c>
      <c r="U93" t="str">
        <f t="shared" si="13"/>
        <v>-6.04289287989278, -11.9208033032332, -9.9401579662895, 6.3081832241518, 11.9235598821405, 7.22861281106792</v>
      </c>
      <c r="V93" t="str">
        <f t="shared" si="13"/>
        <v>1.54226375138049, 2.12008459269544, 6.02307505460644, 1.30755289889703, 1.27678221171989, 0.997168462665802</v>
      </c>
      <c r="W93" t="str">
        <f t="shared" si="13"/>
        <v>18.0491417940193, 90.8803939995425, 54.3935521452861, 30.3577325229118, 44.2370829717168, 43.7912599201061</v>
      </c>
      <c r="X93" t="str">
        <f t="shared" si="13"/>
        <v>2.24955473016609, 3.19210695254647, 4.42138972803285, 0.720315475167265, 1.00717240979833, 0.770176295744426</v>
      </c>
      <c r="Y93" s="14" t="str">
        <f t="shared" si="13"/>
        <v>1.07181559341733, 1.72112513928031, 2.63732583253017, 1.0242483773178, 1.81611385293178, 0.887929188599839</v>
      </c>
      <c r="Z93" t="str">
        <f t="shared" si="13"/>
        <v>19.8804485414873, 5.46459748301653, 3.55075535730538, 1.56252357901666, 1.72168356712425, 1.44145886760013</v>
      </c>
      <c r="AA93" t="str">
        <f t="shared" si="13"/>
        <v>174.349694864856, 91.1004677352855, 105.092857096801, 111.148098858729, 216.735037923669, 165.156830357689</v>
      </c>
      <c r="AB93" t="str">
        <f t="shared" si="13"/>
        <v>17.9489378869081, 1.86597726592342, 3.27160278549954, 4.12500655821291, 3.91174295278879, 4.16268827717671</v>
      </c>
      <c r="AC93" t="str">
        <f t="shared" si="13"/>
        <v>58.7843138681327, 11.439029418883, 3.95539313773596, 4.31862345513638, 9.24203795005922, 9.88941581300941</v>
      </c>
    </row>
    <row r="94" spans="4:35" x14ac:dyDescent="0.25">
      <c r="D94" s="6" t="s">
        <v>58</v>
      </c>
      <c r="E94" s="15">
        <f>D49</f>
        <v>3.4379678812911156</v>
      </c>
      <c r="F94" s="15">
        <f>H49</f>
        <v>8.9711094057508252</v>
      </c>
      <c r="G94" s="15">
        <f>L49</f>
        <v>1.8315957439649535</v>
      </c>
      <c r="H94" s="15">
        <f>P49</f>
        <v>5.3491279273277605</v>
      </c>
      <c r="I94" s="15">
        <f>E49</f>
        <v>1.0021570675952827</v>
      </c>
      <c r="J94" s="15">
        <f>I49</f>
        <v>21.497200168933798</v>
      </c>
      <c r="K94" s="15">
        <f>M49</f>
        <v>0.55427340390551794</v>
      </c>
      <c r="L94" s="15">
        <f>Q49</f>
        <v>0.94297732029584203</v>
      </c>
      <c r="M94">
        <f>ABS(E50)</f>
        <v>1.0527505554323229</v>
      </c>
      <c r="N94">
        <f>ABS(H23)</f>
        <v>68.184242368516962</v>
      </c>
      <c r="O94">
        <f>ABS(L23)</f>
        <v>5.1227659671810555</v>
      </c>
      <c r="P94">
        <f>ABS(P23)</f>
        <v>0.16936310514724667</v>
      </c>
      <c r="R94" t="str">
        <f t="shared" si="12"/>
        <v>0.817701293432273, 3.48743780172377, -40.0771913007657, 3.9015872782579, 3.04804504552067, 2.68745759482563, 3.43796788129112</v>
      </c>
      <c r="S94" t="str">
        <f t="shared" si="13"/>
        <v>-9.01603772016449, -41.8398252263308, 19.0785680691457, 13.5286453065906, 19.0247401494434, 19.5882319118198, 8.97110940575083</v>
      </c>
      <c r="T94" t="str">
        <f t="shared" si="13"/>
        <v>-15.5978523157066, -22.2559680307466, -31.2181844944673, 2.01318276578361, 6.15595184052617, 3.44073776384959, 1.83159574396495</v>
      </c>
      <c r="U94" t="str">
        <f t="shared" si="13"/>
        <v>-6.04289287989278, -11.9208033032332, -9.9401579662895, 6.3081832241518, 11.9235598821405, 7.22861281106792, 5.34912792732776</v>
      </c>
      <c r="V94" t="str">
        <f t="shared" si="13"/>
        <v>1.54226375138049, 2.12008459269544, 6.02307505460644, 1.30755289889703, 1.27678221171989, 0.997168462665802, 1.00215706759528</v>
      </c>
      <c r="W94" t="str">
        <f t="shared" si="13"/>
        <v>18.0491417940193, 90.8803939995425, 54.3935521452861, 30.3577325229118, 44.2370829717168, 43.7912599201061, 21.4972001689338</v>
      </c>
      <c r="X94" t="str">
        <f t="shared" si="13"/>
        <v>2.24955473016609, 3.19210695254647, 4.42138972803285, 0.720315475167265, 1.00717240979833, 0.770176295744426, 0.554273403905518</v>
      </c>
      <c r="Y94" s="14" t="str">
        <f t="shared" si="13"/>
        <v>1.07181559341733, 1.72112513928031, 2.63732583253017, 1.0242483773178, 1.81611385293178, 0.887929188599839, 0.942977320295842</v>
      </c>
      <c r="Z94" t="str">
        <f t="shared" si="13"/>
        <v>19.8804485414873, 5.46459748301653, 3.55075535730538, 1.56252357901666, 1.72168356712425, 1.44145886760013, 1.05275055543232</v>
      </c>
      <c r="AA94" t="str">
        <f t="shared" si="13"/>
        <v>174.349694864856, 91.1004677352855, 105.092857096801, 111.148098858729, 216.735037923669, 165.156830357689, 68.184242368517</v>
      </c>
      <c r="AB94" t="str">
        <f t="shared" si="13"/>
        <v>17.9489378869081, 1.86597726592342, 3.27160278549954, 4.12500655821291, 3.91174295278879, 4.16268827717671, 5.12276596718106</v>
      </c>
      <c r="AC94" t="str">
        <f t="shared" si="13"/>
        <v>58.7843138681327, 11.439029418883, 3.95539313773596, 4.31862345513638, 9.24203795005922, 9.88941581300941, 0.169363105147247</v>
      </c>
    </row>
    <row r="95" spans="4:35" x14ac:dyDescent="0.25">
      <c r="D95" s="6" t="s">
        <v>61</v>
      </c>
      <c r="E95" s="15">
        <f>D51</f>
        <v>0.18585007782460106</v>
      </c>
      <c r="F95" s="15">
        <f>H51</f>
        <v>1.1519375144815014</v>
      </c>
      <c r="G95" s="15">
        <f>L51</f>
        <v>0.47136595390273817</v>
      </c>
      <c r="H95" s="15">
        <f>P51</f>
        <v>0.21143072069368982</v>
      </c>
      <c r="I95" s="15">
        <f>E51</f>
        <v>0.99498125300730944</v>
      </c>
      <c r="J95" s="15">
        <f>I51</f>
        <v>8.6616277769138392</v>
      </c>
      <c r="K95" s="15">
        <f>M51</f>
        <v>0.59832868239149328</v>
      </c>
      <c r="L95" s="15">
        <f>Q51</f>
        <v>0.42537586957952622</v>
      </c>
      <c r="M95">
        <f>ABS(E52)</f>
        <v>1.3448857551134161</v>
      </c>
      <c r="N95">
        <f>ABS(H25)</f>
        <v>108.35555548938643</v>
      </c>
      <c r="O95">
        <f>ABS(L25)</f>
        <v>6.2066302062840597</v>
      </c>
      <c r="P95">
        <f>ABS(P25)</f>
        <v>4.736045966917664</v>
      </c>
      <c r="R95" t="str">
        <f t="shared" si="12"/>
        <v>0.817701293432273, 3.48743780172377, -40.0771913007657, 3.9015872782579, 3.04804504552067, 2.68745759482563, 3.43796788129112, 0.185850077824601</v>
      </c>
      <c r="S95" t="str">
        <f t="shared" si="13"/>
        <v>-9.01603772016449, -41.8398252263308, 19.0785680691457, 13.5286453065906, 19.0247401494434, 19.5882319118198, 8.97110940575083, 1.1519375144815</v>
      </c>
      <c r="T95" t="str">
        <f t="shared" si="13"/>
        <v>-15.5978523157066, -22.2559680307466, -31.2181844944673, 2.01318276578361, 6.15595184052617, 3.44073776384959, 1.83159574396495, 0.471365953902738</v>
      </c>
      <c r="U95" t="str">
        <f t="shared" si="13"/>
        <v>-6.04289287989278, -11.9208033032332, -9.9401579662895, 6.3081832241518, 11.9235598821405, 7.22861281106792, 5.34912792732776, 0.21143072069369</v>
      </c>
      <c r="V95" t="str">
        <f t="shared" si="13"/>
        <v>1.54226375138049, 2.12008459269544, 6.02307505460644, 1.30755289889703, 1.27678221171989, 0.997168462665802, 1.00215706759528, 0.994981253007309</v>
      </c>
      <c r="W95" t="str">
        <f t="shared" si="13"/>
        <v>18.0491417940193, 90.8803939995425, 54.3935521452861, 30.3577325229118, 44.2370829717168, 43.7912599201061, 21.4972001689338, 8.66162777691384</v>
      </c>
      <c r="X95" t="str">
        <f t="shared" si="13"/>
        <v>2.24955473016609, 3.19210695254647, 4.42138972803285, 0.720315475167265, 1.00717240979833, 0.770176295744426, 0.554273403905518, 0.598328682391493</v>
      </c>
      <c r="Y95" s="14" t="str">
        <f t="shared" si="13"/>
        <v>1.07181559341733, 1.72112513928031, 2.63732583253017, 1.0242483773178, 1.81611385293178, 0.887929188599839, 0.942977320295842, 0.425375869579526</v>
      </c>
      <c r="Z95" t="str">
        <f t="shared" si="13"/>
        <v>19.8804485414873, 5.46459748301653, 3.55075535730538, 1.56252357901666, 1.72168356712425, 1.44145886760013, 1.05275055543232, 1.34488575511342</v>
      </c>
      <c r="AA95" t="str">
        <f t="shared" si="13"/>
        <v>174.349694864856, 91.1004677352855, 105.092857096801, 111.148098858729, 216.735037923669, 165.156830357689, 68.184242368517, 108.355555489386</v>
      </c>
      <c r="AB95" t="str">
        <f t="shared" si="13"/>
        <v>17.9489378869081, 1.86597726592342, 3.27160278549954, 4.12500655821291, 3.91174295278879, 4.16268827717671, 5.12276596718106, 6.20663020628406</v>
      </c>
      <c r="AC95" t="str">
        <f t="shared" si="13"/>
        <v>58.7843138681327, 11.439029418883, 3.95539313773596, 4.31862345513638, 9.24203795005922, 9.88941581300941, 0.169363105147247, 4.73604596691766</v>
      </c>
    </row>
    <row r="96" spans="4:35" x14ac:dyDescent="0.25">
      <c r="D96" s="6" t="s">
        <v>112</v>
      </c>
      <c r="E96" s="15">
        <f>D53</f>
        <v>0.50660988000167184</v>
      </c>
      <c r="F96" s="15">
        <f>H53</f>
        <v>-13.031358698437908</v>
      </c>
      <c r="G96" s="15">
        <f>L53</f>
        <v>0.23228395685873041</v>
      </c>
      <c r="H96" s="15">
        <f>P53</f>
        <v>-0.58815166558622478</v>
      </c>
      <c r="I96" s="15">
        <f>E53</f>
        <v>0.64823558435971484</v>
      </c>
      <c r="J96" s="15">
        <f>I53</f>
        <v>30.738500470536103</v>
      </c>
      <c r="K96" s="15">
        <f>M53</f>
        <v>0.55777084462162074</v>
      </c>
      <c r="L96" s="15">
        <f>Q53</f>
        <v>0.47413581464263266</v>
      </c>
      <c r="M96">
        <f>ABS(E54)</f>
        <v>0.88004303052066135</v>
      </c>
      <c r="N96">
        <f>ABS(H27)</f>
        <v>2.6525133768401439</v>
      </c>
      <c r="O96">
        <f>ABS(L27)</f>
        <v>13.0257673182346</v>
      </c>
      <c r="P96">
        <f>ABS(P27)</f>
        <v>16.384263049436111</v>
      </c>
      <c r="R96" t="str">
        <f t="shared" si="12"/>
        <v>0.817701293432273, 3.48743780172377, -40.0771913007657, 3.9015872782579, 3.04804504552067, 2.68745759482563, 3.43796788129112, 0.185850077824601, 0.506609880001672</v>
      </c>
      <c r="S96" t="str">
        <f t="shared" si="13"/>
        <v>-9.01603772016449, -41.8398252263308, 19.0785680691457, 13.5286453065906, 19.0247401494434, 19.5882319118198, 8.97110940575083, 1.1519375144815, -13.0313586984379</v>
      </c>
      <c r="T96" t="str">
        <f t="shared" si="13"/>
        <v>-15.5978523157066, -22.2559680307466, -31.2181844944673, 2.01318276578361, 6.15595184052617, 3.44073776384959, 1.83159574396495, 0.471365953902738, 0.23228395685873</v>
      </c>
      <c r="U96" t="str">
        <f t="shared" si="13"/>
        <v>-6.04289287989278, -11.9208033032332, -9.9401579662895, 6.3081832241518, 11.9235598821405, 7.22861281106792, 5.34912792732776, 0.21143072069369, -0.588151665586225</v>
      </c>
      <c r="V96" t="str">
        <f t="shared" si="13"/>
        <v>1.54226375138049, 2.12008459269544, 6.02307505460644, 1.30755289889703, 1.27678221171989, 0.997168462665802, 1.00215706759528, 0.994981253007309, 0.648235584359715</v>
      </c>
      <c r="W96" t="str">
        <f t="shared" si="13"/>
        <v>18.0491417940193, 90.8803939995425, 54.3935521452861, 30.3577325229118, 44.2370829717168, 43.7912599201061, 21.4972001689338, 8.66162777691384, 30.7385004705361</v>
      </c>
      <c r="X96" t="str">
        <f t="shared" si="13"/>
        <v>2.24955473016609, 3.19210695254647, 4.42138972803285, 0.720315475167265, 1.00717240979833, 0.770176295744426, 0.554273403905518, 0.598328682391493, 0.557770844621621</v>
      </c>
      <c r="Y96" s="14" t="str">
        <f t="shared" si="13"/>
        <v>1.07181559341733, 1.72112513928031, 2.63732583253017, 1.0242483773178, 1.81611385293178, 0.887929188599839, 0.942977320295842, 0.425375869579526, 0.474135814642633</v>
      </c>
      <c r="Z96" t="str">
        <f t="shared" si="13"/>
        <v>19.8804485414873, 5.46459748301653, 3.55075535730538, 1.56252357901666, 1.72168356712425, 1.44145886760013, 1.05275055543232, 1.34488575511342, 0.880043030520661</v>
      </c>
      <c r="AA96" t="str">
        <f t="shared" si="13"/>
        <v>174.349694864856, 91.1004677352855, 105.092857096801, 111.148098858729, 216.735037923669, 165.156830357689, 68.184242368517, 108.355555489386, 2.65251337684014</v>
      </c>
      <c r="AB96" t="str">
        <f t="shared" si="13"/>
        <v>17.9489378869081, 1.86597726592342, 3.27160278549954, 4.12500655821291, 3.91174295278879, 4.16268827717671, 5.12276596718106, 6.20663020628406, 13.0257673182346</v>
      </c>
      <c r="AC96" t="str">
        <f t="shared" si="13"/>
        <v>58.7843138681327, 11.439029418883, 3.95539313773596, 4.31862345513638, 9.24203795005922, 9.88941581300941, 0.169363105147247, 4.73604596691766, 16.3842630494361</v>
      </c>
    </row>
    <row r="97" spans="4:29" x14ac:dyDescent="0.25">
      <c r="D97" s="6" t="s">
        <v>113</v>
      </c>
      <c r="E97" s="15">
        <f>D55</f>
        <v>1.68421733774178</v>
      </c>
      <c r="F97" s="15">
        <f>H55</f>
        <v>-11.596169390498916</v>
      </c>
      <c r="G97" s="15">
        <f>L55</f>
        <v>-0.15259564601443623</v>
      </c>
      <c r="H97" s="15">
        <f>P55</f>
        <v>-1.72417635119485</v>
      </c>
      <c r="I97" s="15">
        <f>E55</f>
        <v>0.6781370214690956</v>
      </c>
      <c r="J97" s="15">
        <f>I55</f>
        <v>27.803131789666541</v>
      </c>
      <c r="K97" s="15">
        <f>M55</f>
        <v>0.49173098625945866</v>
      </c>
      <c r="L97" s="15">
        <f>Q55</f>
        <v>0.58719853860729199</v>
      </c>
      <c r="M97">
        <f>ABS(E56)</f>
        <v>1.1209452288436836</v>
      </c>
      <c r="N97">
        <f>ABS(H29)</f>
        <v>50.210575458146437</v>
      </c>
      <c r="O97">
        <f>ABS(L29)</f>
        <v>9.336987627438802</v>
      </c>
      <c r="P97">
        <f>ABS(P29)</f>
        <v>7.1116215796605342</v>
      </c>
      <c r="R97" s="27" t="s">
        <v>206</v>
      </c>
      <c r="S97" s="27" t="s">
        <v>207</v>
      </c>
      <c r="T97" s="27" t="s">
        <v>208</v>
      </c>
      <c r="U97" s="27" t="s">
        <v>209</v>
      </c>
      <c r="V97" s="45" t="s">
        <v>237</v>
      </c>
      <c r="W97" s="45" t="s">
        <v>238</v>
      </c>
      <c r="X97" s="45" t="s">
        <v>239</v>
      </c>
      <c r="Y97" s="46" t="s">
        <v>240</v>
      </c>
      <c r="Z97" s="40" t="s">
        <v>210</v>
      </c>
      <c r="AA97" s="40" t="s">
        <v>211</v>
      </c>
      <c r="AB97" s="40" t="s">
        <v>212</v>
      </c>
      <c r="AC97" s="40" t="s">
        <v>213</v>
      </c>
    </row>
    <row r="98" spans="4:29" x14ac:dyDescent="0.25">
      <c r="D98" s="6" t="s">
        <v>114</v>
      </c>
      <c r="E98" s="15">
        <f>D59</f>
        <v>-40.894892594197934</v>
      </c>
      <c r="F98" s="15">
        <f>H59</f>
        <v>28.094605789310219</v>
      </c>
      <c r="G98" s="15">
        <f>L59</f>
        <v>-15.620332178760744</v>
      </c>
      <c r="H98" s="15">
        <f>P59</f>
        <v>-3.8972650863967262</v>
      </c>
      <c r="I98" s="15">
        <f>E59</f>
        <v>12.773767788405983</v>
      </c>
      <c r="J98" s="15">
        <f>I59</f>
        <v>2.4453586874049922</v>
      </c>
      <c r="K98" s="15">
        <f>M59</f>
        <v>3.046281912131616</v>
      </c>
      <c r="L98" s="15">
        <f>Q59</f>
        <v>1.0613983923439914</v>
      </c>
      <c r="M98" s="15"/>
      <c r="N98" s="15"/>
      <c r="O98" s="15"/>
      <c r="P98" s="15"/>
      <c r="Q98" s="15"/>
      <c r="R98" s="15"/>
      <c r="S98" s="15"/>
      <c r="Y98" s="14"/>
    </row>
    <row r="99" spans="4:29" x14ac:dyDescent="0.25">
      <c r="D99" s="6" t="s">
        <v>115</v>
      </c>
      <c r="E99" s="15">
        <f>D60</f>
        <v>-43.564629102489441</v>
      </c>
      <c r="F99" s="15">
        <f>H60</f>
        <v>60.918393295476577</v>
      </c>
      <c r="G99" s="15">
        <f>L60</f>
        <v>-8.9622164637207131</v>
      </c>
      <c r="H99" s="15">
        <f>P60</f>
        <v>1.9806453369437438</v>
      </c>
      <c r="I99" s="15">
        <f>E60</f>
        <v>15.867829034788013</v>
      </c>
      <c r="J99" s="15">
        <f>I60</f>
        <v>5.0026433994043984</v>
      </c>
      <c r="K99" s="15">
        <f>M60</f>
        <v>1.8043771825778308</v>
      </c>
      <c r="L99" s="15">
        <f>Q60</f>
        <v>1.225450724194781</v>
      </c>
      <c r="M99" s="15"/>
      <c r="N99" s="15"/>
      <c r="O99" s="15"/>
      <c r="Y99" s="14"/>
    </row>
    <row r="100" spans="4:29" ht="15.75" thickBot="1" x14ac:dyDescent="0.3">
      <c r="D100" s="8" t="s">
        <v>116</v>
      </c>
      <c r="E100" s="16">
        <f>D61</f>
        <v>-2.6697365082914941</v>
      </c>
      <c r="F100" s="16">
        <f>H61</f>
        <v>32.823787506166362</v>
      </c>
      <c r="G100" s="16">
        <f>L61</f>
        <v>6.6581157150400339</v>
      </c>
      <c r="H100" s="16">
        <f>P61</f>
        <v>5.8779104233404702</v>
      </c>
      <c r="I100" s="16">
        <f>E61</f>
        <v>4.5028612334406057</v>
      </c>
      <c r="J100" s="16">
        <f>I61</f>
        <v>2.6434896235747263</v>
      </c>
      <c r="K100" s="16">
        <f>M61</f>
        <v>1.7875357830984118</v>
      </c>
      <c r="L100" s="16">
        <f>Q61</f>
        <v>1.2521834948811534</v>
      </c>
      <c r="M100" s="16"/>
      <c r="N100" s="16"/>
      <c r="O100" s="16"/>
      <c r="P100" s="9"/>
      <c r="Q100" s="16"/>
      <c r="R100" s="16"/>
      <c r="S100" s="9"/>
      <c r="T100" s="9"/>
      <c r="U100" s="9"/>
      <c r="V100" s="9"/>
      <c r="W100" s="9"/>
      <c r="X100" s="9"/>
      <c r="Y100" s="17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425E-5558-4D6C-87D6-CD25FC0A4AB8}">
  <dimension ref="A1:AC63"/>
  <sheetViews>
    <sheetView topLeftCell="A43" zoomScale="70" zoomScaleNormal="70" workbookViewId="0">
      <selection activeCell="M53" sqref="M53"/>
    </sheetView>
  </sheetViews>
  <sheetFormatPr defaultColWidth="11.42578125" defaultRowHeight="15" x14ac:dyDescent="0.25"/>
  <cols>
    <col min="1" max="1" width="28.7109375" customWidth="1"/>
    <col min="3" max="3" width="17.85546875" customWidth="1"/>
    <col min="4" max="4" width="17" customWidth="1"/>
    <col min="5" max="5" width="18.5703125" customWidth="1"/>
    <col min="6" max="6" width="21" customWidth="1"/>
    <col min="7" max="7" width="18" customWidth="1"/>
  </cols>
  <sheetData>
    <row r="1" spans="2:29" x14ac:dyDescent="0.25">
      <c r="C1" t="s">
        <v>264</v>
      </c>
      <c r="D1" t="s">
        <v>264</v>
      </c>
      <c r="E1" t="s">
        <v>264</v>
      </c>
      <c r="F1" t="s">
        <v>279</v>
      </c>
      <c r="G1" t="s">
        <v>279</v>
      </c>
      <c r="H1" t="s">
        <v>279</v>
      </c>
      <c r="I1" t="s">
        <v>278</v>
      </c>
      <c r="J1" t="s">
        <v>278</v>
      </c>
      <c r="K1" t="s">
        <v>278</v>
      </c>
      <c r="L1" t="s">
        <v>281</v>
      </c>
      <c r="M1" t="s">
        <v>281</v>
      </c>
      <c r="N1" t="s">
        <v>281</v>
      </c>
      <c r="O1" t="s">
        <v>280</v>
      </c>
      <c r="P1" t="s">
        <v>280</v>
      </c>
      <c r="Q1" t="s">
        <v>280</v>
      </c>
      <c r="R1" t="s">
        <v>277</v>
      </c>
      <c r="S1" t="s">
        <v>277</v>
      </c>
      <c r="T1" t="s">
        <v>277</v>
      </c>
      <c r="U1" t="s">
        <v>282</v>
      </c>
      <c r="V1" t="s">
        <v>282</v>
      </c>
      <c r="W1" t="s">
        <v>282</v>
      </c>
      <c r="X1" t="s">
        <v>283</v>
      </c>
      <c r="Y1" t="s">
        <v>283</v>
      </c>
      <c r="Z1" t="s">
        <v>283</v>
      </c>
      <c r="AA1" t="s">
        <v>284</v>
      </c>
      <c r="AB1" t="s">
        <v>284</v>
      </c>
      <c r="AC1" t="s">
        <v>284</v>
      </c>
    </row>
    <row r="2" spans="2:29" x14ac:dyDescent="0.25">
      <c r="B2" s="54" t="s">
        <v>20</v>
      </c>
      <c r="C2" s="54" t="s">
        <v>21</v>
      </c>
      <c r="D2" s="54" t="s">
        <v>24</v>
      </c>
      <c r="E2" s="54" t="s">
        <v>25</v>
      </c>
      <c r="F2" s="54" t="s">
        <v>21</v>
      </c>
      <c r="G2" s="54" t="s">
        <v>24</v>
      </c>
      <c r="H2" s="54" t="s">
        <v>25</v>
      </c>
      <c r="I2" s="54" t="s">
        <v>21</v>
      </c>
      <c r="J2" s="54" t="s">
        <v>24</v>
      </c>
      <c r="K2" s="54" t="s">
        <v>25</v>
      </c>
      <c r="L2" s="54" t="s">
        <v>21</v>
      </c>
      <c r="M2" s="54" t="s">
        <v>24</v>
      </c>
      <c r="N2" s="54" t="s">
        <v>25</v>
      </c>
      <c r="O2" s="54" t="s">
        <v>21</v>
      </c>
      <c r="P2" s="54" t="s">
        <v>24</v>
      </c>
      <c r="Q2" s="54" t="s">
        <v>25</v>
      </c>
      <c r="R2" s="54" t="s">
        <v>21</v>
      </c>
      <c r="S2" s="54" t="s">
        <v>24</v>
      </c>
      <c r="T2" s="54" t="s">
        <v>25</v>
      </c>
      <c r="U2" s="54" t="s">
        <v>21</v>
      </c>
      <c r="V2" s="54" t="s">
        <v>24</v>
      </c>
      <c r="W2" s="54" t="s">
        <v>25</v>
      </c>
      <c r="X2" s="54" t="s">
        <v>21</v>
      </c>
      <c r="Y2" s="54" t="s">
        <v>24</v>
      </c>
      <c r="Z2" s="54" t="s">
        <v>25</v>
      </c>
      <c r="AA2" s="54" t="s">
        <v>21</v>
      </c>
      <c r="AB2" s="54" t="s">
        <v>24</v>
      </c>
      <c r="AC2" s="54" t="s">
        <v>25</v>
      </c>
    </row>
    <row r="3" spans="2:29" x14ac:dyDescent="0.25">
      <c r="B3" t="s">
        <v>27</v>
      </c>
      <c r="C3">
        <v>1.4867725652737109</v>
      </c>
      <c r="D3">
        <v>8.9737638997784058E-2</v>
      </c>
      <c r="E3">
        <v>16.567992894379859</v>
      </c>
      <c r="F3">
        <v>1.5104</v>
      </c>
      <c r="G3">
        <v>9.2552871036038306E-2</v>
      </c>
      <c r="H3">
        <v>18.369115824921209</v>
      </c>
      <c r="I3">
        <v>1.586976711355665</v>
      </c>
      <c r="J3">
        <v>9.3645742881582741E-2</v>
      </c>
      <c r="K3">
        <v>16.946597490955181</v>
      </c>
      <c r="L3">
        <v>1.700114407989983</v>
      </c>
      <c r="M3">
        <v>9.2552871036038306E-2</v>
      </c>
      <c r="N3">
        <v>18.369115824921209</v>
      </c>
      <c r="O3">
        <v>1.9443953978896971</v>
      </c>
      <c r="P3">
        <v>0.1058783700349844</v>
      </c>
      <c r="Q3">
        <v>18.36442511579304</v>
      </c>
      <c r="R3">
        <v>1.9808617574844389</v>
      </c>
      <c r="S3">
        <v>0.1147435851274801</v>
      </c>
      <c r="T3">
        <v>17.263376904980809</v>
      </c>
      <c r="U3">
        <v>2.3732668072132079</v>
      </c>
      <c r="V3">
        <v>0.13317409040969669</v>
      </c>
      <c r="W3">
        <v>17.820784808156692</v>
      </c>
      <c r="X3">
        <v>2.425558270436301</v>
      </c>
      <c r="Y3">
        <v>0.1453188196680818</v>
      </c>
      <c r="Z3">
        <v>16.69128799680897</v>
      </c>
      <c r="AA3">
        <v>2.532306923440919</v>
      </c>
      <c r="AB3">
        <v>0.16045189532498161</v>
      </c>
      <c r="AC3">
        <v>15.78234347629205</v>
      </c>
    </row>
    <row r="4" spans="2:29" x14ac:dyDescent="0.25">
      <c r="B4" t="s">
        <v>29</v>
      </c>
      <c r="C4">
        <v>2.118504563988147</v>
      </c>
      <c r="D4">
        <v>0.1017475062886377</v>
      </c>
      <c r="E4">
        <v>20.821193965956919</v>
      </c>
      <c r="F4">
        <v>2.0853000000000002</v>
      </c>
      <c r="G4">
        <v>0.1020088486756888</v>
      </c>
      <c r="H4">
        <v>20.009024238756091</v>
      </c>
      <c r="I4">
        <v>2.1355408597739141</v>
      </c>
      <c r="J4">
        <v>0.1051252558368487</v>
      </c>
      <c r="K4">
        <v>20.314251249844379</v>
      </c>
      <c r="L4">
        <v>2.0410975257194601</v>
      </c>
      <c r="M4">
        <v>0.1020088486756888</v>
      </c>
      <c r="N4">
        <v>20.009024238756091</v>
      </c>
      <c r="O4">
        <v>1.964707841494556</v>
      </c>
      <c r="P4">
        <v>0.1099215870462449</v>
      </c>
      <c r="Q4">
        <v>17.873721570886602</v>
      </c>
      <c r="R4">
        <v>2.013329478315411</v>
      </c>
      <c r="S4">
        <v>0.1192180683926789</v>
      </c>
      <c r="T4">
        <v>16.88778811349243</v>
      </c>
      <c r="U4">
        <v>1.9368060495710631</v>
      </c>
      <c r="V4">
        <v>0.13035114538912859</v>
      </c>
      <c r="W4">
        <v>14.85837384695964</v>
      </c>
      <c r="X4">
        <v>1.9608967227181411</v>
      </c>
      <c r="Y4">
        <v>0.14862817704133491</v>
      </c>
      <c r="Z4">
        <v>13.19330400030942</v>
      </c>
      <c r="AA4">
        <v>1.883770589693224</v>
      </c>
      <c r="AB4">
        <v>0.14939503779106239</v>
      </c>
      <c r="AC4">
        <v>12.60932503211912</v>
      </c>
    </row>
    <row r="5" spans="2:29" x14ac:dyDescent="0.25">
      <c r="B5" t="s">
        <v>32</v>
      </c>
      <c r="C5">
        <v>2.1009291744346692</v>
      </c>
      <c r="D5">
        <v>0.1023433371278087</v>
      </c>
      <c r="E5">
        <v>20.528245740228119</v>
      </c>
      <c r="F5">
        <v>2.1006999999999998</v>
      </c>
      <c r="G5">
        <v>0.1057391514066104</v>
      </c>
      <c r="H5">
        <v>20.553084127762141</v>
      </c>
      <c r="I5">
        <v>2.1722368248826132</v>
      </c>
      <c r="J5">
        <v>0.1056335072870658</v>
      </c>
      <c r="K5">
        <v>20.563899473482589</v>
      </c>
      <c r="L5">
        <v>2.173265674458241</v>
      </c>
      <c r="M5">
        <v>0.1057391514066104</v>
      </c>
      <c r="N5">
        <v>20.553084127762141</v>
      </c>
      <c r="O5">
        <v>2.4899948750882048</v>
      </c>
      <c r="P5">
        <v>0.1214388006936314</v>
      </c>
      <c r="Q5">
        <v>20.504112860682969</v>
      </c>
      <c r="R5">
        <v>2.6807308495631341</v>
      </c>
      <c r="S5">
        <v>0.1301941572597454</v>
      </c>
      <c r="T5">
        <v>20.590254631894961</v>
      </c>
      <c r="U5">
        <v>2.8734070719567208</v>
      </c>
      <c r="V5">
        <v>0.14690164714697859</v>
      </c>
      <c r="W5">
        <v>19.560073884548139</v>
      </c>
      <c r="X5">
        <v>2.943722185557117</v>
      </c>
      <c r="Y5">
        <v>0.1655907879143981</v>
      </c>
      <c r="Z5">
        <v>17.777089067773922</v>
      </c>
      <c r="AA5">
        <v>2.987794752004036</v>
      </c>
      <c r="AB5">
        <v>0.17378639821128469</v>
      </c>
      <c r="AC5">
        <v>17.19233946244491</v>
      </c>
    </row>
    <row r="6" spans="2:29" x14ac:dyDescent="0.25">
      <c r="B6" t="s">
        <v>34</v>
      </c>
      <c r="C6">
        <v>-2.7904721949240159</v>
      </c>
      <c r="D6">
        <v>0.1166940650315508</v>
      </c>
      <c r="E6">
        <v>-23.912717362014519</v>
      </c>
      <c r="F6">
        <v>-2.7677999999999998</v>
      </c>
      <c r="G6">
        <v>0.1181232045818212</v>
      </c>
      <c r="H6">
        <v>-23.556629490404781</v>
      </c>
      <c r="I6">
        <v>-2.811892035836324</v>
      </c>
      <c r="J6">
        <v>0.1212886357609981</v>
      </c>
      <c r="K6">
        <v>-23.1834748424182</v>
      </c>
      <c r="L6">
        <v>-2.7825845645532459</v>
      </c>
      <c r="M6">
        <v>0.1181232045818212</v>
      </c>
      <c r="N6">
        <v>-23.556629490404781</v>
      </c>
      <c r="O6">
        <v>-2.6381856996664581</v>
      </c>
      <c r="P6">
        <v>0.1281635084783242</v>
      </c>
      <c r="Q6">
        <v>-20.584530893305281</v>
      </c>
      <c r="R6">
        <v>-2.4804431528757989</v>
      </c>
      <c r="S6">
        <v>0.12615877241817319</v>
      </c>
      <c r="T6">
        <v>-19.661281616263491</v>
      </c>
      <c r="U6">
        <v>-2.5357513273554702</v>
      </c>
      <c r="V6">
        <v>0.1396971081790781</v>
      </c>
      <c r="W6">
        <v>-18.151781095603521</v>
      </c>
      <c r="X6">
        <v>-2.5098302408261199</v>
      </c>
      <c r="Y6">
        <v>0.15572413516663999</v>
      </c>
      <c r="Z6">
        <v>-16.11715639416046</v>
      </c>
      <c r="AA6">
        <v>-2.3586170222731919</v>
      </c>
      <c r="AB6">
        <v>0.15381602839411909</v>
      </c>
      <c r="AC6">
        <v>-15.334013281306181</v>
      </c>
    </row>
    <row r="7" spans="2:29" x14ac:dyDescent="0.25">
      <c r="B7" t="s">
        <v>37</v>
      </c>
      <c r="C7">
        <v>5.3026584583495788</v>
      </c>
      <c r="D7">
        <v>0.20212383535732931</v>
      </c>
      <c r="E7">
        <v>26.23470136006053</v>
      </c>
      <c r="F7">
        <v>5.2610999999999999</v>
      </c>
      <c r="G7">
        <v>0.2027378288450554</v>
      </c>
      <c r="H7">
        <v>25.784856053444891</v>
      </c>
      <c r="I7">
        <v>5.4521817553981116</v>
      </c>
      <c r="J7">
        <v>0.2138639920282612</v>
      </c>
      <c r="K7">
        <v>25.493687383697718</v>
      </c>
      <c r="L7">
        <v>5.227565733357701</v>
      </c>
      <c r="M7">
        <v>0.2027378288450554</v>
      </c>
      <c r="N7">
        <v>25.784856053444891</v>
      </c>
      <c r="O7">
        <v>5.7578250757526037</v>
      </c>
      <c r="P7">
        <v>0.2475496741015861</v>
      </c>
      <c r="Q7">
        <v>23.259271484194262</v>
      </c>
      <c r="R7">
        <v>5.7706605852707016</v>
      </c>
      <c r="S7">
        <v>0.25963122203220063</v>
      </c>
      <c r="T7">
        <v>22.226373777784701</v>
      </c>
      <c r="U7">
        <v>6.4284812749103653</v>
      </c>
      <c r="V7">
        <v>0.30979268083333039</v>
      </c>
      <c r="W7">
        <v>20.750913990666259</v>
      </c>
      <c r="X7">
        <v>6.2838749837224164</v>
      </c>
      <c r="Y7">
        <v>0.32805231530236412</v>
      </c>
      <c r="Z7">
        <v>19.155100240431469</v>
      </c>
      <c r="AA7">
        <v>6.374020616660486</v>
      </c>
      <c r="AB7">
        <v>0.36003122219903222</v>
      </c>
      <c r="AC7">
        <v>17.704077378980219</v>
      </c>
    </row>
    <row r="8" spans="2:29" x14ac:dyDescent="0.25">
      <c r="B8" t="s">
        <v>39</v>
      </c>
      <c r="C8">
        <v>-4.0830468421715231</v>
      </c>
      <c r="D8">
        <v>0.16195018321255511</v>
      </c>
      <c r="E8">
        <v>-25.211745742903151</v>
      </c>
      <c r="F8">
        <v>-4.125</v>
      </c>
      <c r="G8">
        <v>0.1613364427239723</v>
      </c>
      <c r="H8">
        <v>-24.66352776088765</v>
      </c>
      <c r="I8">
        <v>-4.2515315108291283</v>
      </c>
      <c r="J8">
        <v>0.1721224534570214</v>
      </c>
      <c r="K8">
        <v>-24.700621130123078</v>
      </c>
      <c r="L8">
        <v>-3.979125833965552</v>
      </c>
      <c r="M8">
        <v>0.1613364427239723</v>
      </c>
      <c r="N8">
        <v>-24.66352776088765</v>
      </c>
      <c r="O8">
        <v>-4.1230722704136076</v>
      </c>
      <c r="P8">
        <v>0.18746898093703679</v>
      </c>
      <c r="Q8">
        <v>-21.993357246649669</v>
      </c>
      <c r="R8">
        <v>-4.0389419769378554</v>
      </c>
      <c r="S8">
        <v>0.19403931347252079</v>
      </c>
      <c r="T8">
        <v>-20.81507043421815</v>
      </c>
      <c r="U8">
        <v>-4.231917276612398</v>
      </c>
      <c r="V8">
        <v>0.23385718665171659</v>
      </c>
      <c r="W8">
        <v>-18.096160897184621</v>
      </c>
      <c r="X8">
        <v>-3.879648571885649</v>
      </c>
      <c r="Y8">
        <v>0.23757572361244139</v>
      </c>
      <c r="Z8">
        <v>-16.33015576210363</v>
      </c>
      <c r="AA8">
        <v>-4.2593982336423712</v>
      </c>
      <c r="AB8">
        <v>0.27466868611106687</v>
      </c>
      <c r="AC8">
        <v>-15.507403825130661</v>
      </c>
    </row>
    <row r="9" spans="2:29" x14ac:dyDescent="0.25">
      <c r="B9" t="s">
        <v>42</v>
      </c>
      <c r="C9" s="55">
        <v>-5.9169213517622392</v>
      </c>
      <c r="D9">
        <v>0.69026917236228602</v>
      </c>
      <c r="E9">
        <v>-8.5719043942132735</v>
      </c>
      <c r="F9">
        <v>-3.6960000000000002</v>
      </c>
      <c r="G9">
        <v>0.35865653679157378</v>
      </c>
      <c r="H9">
        <v>-6.4538781761360671</v>
      </c>
      <c r="I9">
        <v>-3.5147010690598668</v>
      </c>
      <c r="J9">
        <v>0.44139367347149161</v>
      </c>
      <c r="K9">
        <v>-7.9627354905594769</v>
      </c>
      <c r="L9">
        <v>-2.3147255955276811</v>
      </c>
      <c r="M9">
        <v>0.35865653679157378</v>
      </c>
      <c r="N9">
        <v>-6.4538781761360671</v>
      </c>
      <c r="O9">
        <v>-1.6319391125820071</v>
      </c>
      <c r="P9">
        <v>0.31251817853874159</v>
      </c>
      <c r="Q9">
        <v>-5.2219013953445979</v>
      </c>
      <c r="R9">
        <v>-1.083071627916653</v>
      </c>
      <c r="S9">
        <v>0.29373731188972219</v>
      </c>
      <c r="T9">
        <v>-3.687211614176106</v>
      </c>
      <c r="U9">
        <v>-0.42111198385070941</v>
      </c>
      <c r="V9">
        <v>0.25261454774060849</v>
      </c>
      <c r="W9">
        <v>-1.6670139848126191</v>
      </c>
      <c r="X9">
        <v>-0.34552389632603769</v>
      </c>
      <c r="Y9">
        <v>0.2681512195308613</v>
      </c>
      <c r="Z9">
        <v>-1.288541207944317</v>
      </c>
      <c r="AA9">
        <v>-0.32273770967317572</v>
      </c>
      <c r="AB9">
        <v>0.26805948295921228</v>
      </c>
      <c r="AC9">
        <v>-1.2039779608255201</v>
      </c>
    </row>
    <row r="10" spans="2:29" x14ac:dyDescent="0.25">
      <c r="B10" t="s">
        <v>44</v>
      </c>
      <c r="C10">
        <v>-6.3094125452290228</v>
      </c>
      <c r="D10">
        <v>0.41971632602526598</v>
      </c>
      <c r="E10">
        <v>-15.03256402956603</v>
      </c>
      <c r="F10">
        <v>4.9440999999999997</v>
      </c>
      <c r="G10">
        <v>0.1995248745638902</v>
      </c>
      <c r="H10">
        <v>-18.7087667330273</v>
      </c>
      <c r="I10">
        <v>-4.9636906643763048</v>
      </c>
      <c r="J10">
        <v>0.2755855701044444</v>
      </c>
      <c r="K10">
        <v>-18.011431667104741</v>
      </c>
      <c r="L10">
        <v>-3.732864335652355</v>
      </c>
      <c r="M10">
        <v>0.1995248745638902</v>
      </c>
      <c r="N10">
        <v>-18.7087667330273</v>
      </c>
      <c r="O10">
        <v>-3.4917913246451131</v>
      </c>
      <c r="P10">
        <v>0.18036713350043251</v>
      </c>
      <c r="Q10">
        <v>-19.35935476092012</v>
      </c>
      <c r="R10">
        <v>3.140799459371642</v>
      </c>
      <c r="S10">
        <v>0.1691438898986547</v>
      </c>
      <c r="T10">
        <v>18.568802344876321</v>
      </c>
      <c r="U10">
        <v>2.6471158388151759</v>
      </c>
      <c r="V10">
        <v>0.1467736314019395</v>
      </c>
      <c r="W10">
        <v>18.035363801594929</v>
      </c>
      <c r="X10">
        <v>2.530796303621917</v>
      </c>
      <c r="Y10">
        <v>0.14653118665053641</v>
      </c>
      <c r="Z10">
        <v>17.271383392653721</v>
      </c>
      <c r="AA10">
        <v>-2.4960493716370018</v>
      </c>
      <c r="AB10">
        <v>0.1405812038768792</v>
      </c>
      <c r="AC10">
        <v>-17.755214088385799</v>
      </c>
    </row>
    <row r="11" spans="2:29" x14ac:dyDescent="0.25">
      <c r="B11" t="s">
        <v>47</v>
      </c>
      <c r="C11">
        <v>-0.36706142064956271</v>
      </c>
      <c r="D11">
        <v>5.3438837805580078E-2</v>
      </c>
      <c r="E11">
        <v>-6.8688136891187046</v>
      </c>
      <c r="F11">
        <v>-0.35349999999999998</v>
      </c>
      <c r="G11">
        <v>5.3742521755827742E-2</v>
      </c>
      <c r="H11">
        <v>-7.1521469638251141</v>
      </c>
      <c r="I11">
        <v>-0.38842738666081872</v>
      </c>
      <c r="J11">
        <v>5.5204780696746357E-2</v>
      </c>
      <c r="K11">
        <v>-7.0361186433208989</v>
      </c>
      <c r="L11">
        <v>-0.38437441380424853</v>
      </c>
      <c r="M11">
        <v>5.3742521755827742E-2</v>
      </c>
      <c r="N11">
        <v>-7.1521469638251141</v>
      </c>
      <c r="O11">
        <v>-0.45513501474384499</v>
      </c>
      <c r="P11">
        <v>6.047682014081484E-2</v>
      </c>
      <c r="Q11">
        <v>-7.5257762177988869</v>
      </c>
      <c r="R11">
        <v>-0.45911209975605383</v>
      </c>
      <c r="S11">
        <v>6.6782229016981845E-2</v>
      </c>
      <c r="T11">
        <v>-6.8747645371242037</v>
      </c>
      <c r="U11">
        <v>-0.51213280480948542</v>
      </c>
      <c r="V11">
        <v>7.4248620033422405E-2</v>
      </c>
      <c r="W11">
        <v>-6.8975397061784189</v>
      </c>
      <c r="X11">
        <v>-0.54168843748115192</v>
      </c>
      <c r="Y11">
        <v>8.3036336446448977E-2</v>
      </c>
      <c r="Z11">
        <v>-6.5235107985585632</v>
      </c>
      <c r="AA11">
        <v>-0.50757362048910626</v>
      </c>
      <c r="AB11">
        <v>8.7137602430504252E-2</v>
      </c>
      <c r="AC11">
        <v>-5.8249665624426221</v>
      </c>
    </row>
    <row r="12" spans="2:29" x14ac:dyDescent="0.25">
      <c r="B12" t="s">
        <v>49</v>
      </c>
      <c r="C12">
        <v>-0.56166537386272619</v>
      </c>
      <c r="D12">
        <v>9.5504898441980388E-2</v>
      </c>
      <c r="E12">
        <v>-5.8810111630445867</v>
      </c>
      <c r="F12">
        <v>0.54620000000000002</v>
      </c>
      <c r="G12">
        <v>0.106935346079076</v>
      </c>
      <c r="H12">
        <v>-3.9095966833634241</v>
      </c>
      <c r="I12">
        <v>-0.59027914373242518</v>
      </c>
      <c r="J12">
        <v>9.3811539239504596E-2</v>
      </c>
      <c r="K12">
        <v>-6.2921805624084159</v>
      </c>
      <c r="L12">
        <v>-0.41807407436507549</v>
      </c>
      <c r="M12">
        <v>0.106935346079076</v>
      </c>
      <c r="N12">
        <v>-3.9095966833634241</v>
      </c>
      <c r="O12">
        <v>-0.50564434487211796</v>
      </c>
      <c r="P12">
        <v>0.11882845580297149</v>
      </c>
      <c r="Q12">
        <v>-4.2552462830159383</v>
      </c>
      <c r="R12">
        <v>-0.58167549227004978</v>
      </c>
      <c r="S12">
        <v>0.1231192882331619</v>
      </c>
      <c r="T12">
        <v>-4.724487126407678</v>
      </c>
      <c r="U12">
        <v>0.56999708699036256</v>
      </c>
      <c r="V12">
        <v>0.13484109515071521</v>
      </c>
      <c r="W12">
        <v>4.2271763393293611</v>
      </c>
      <c r="X12">
        <v>-0.76153300451799422</v>
      </c>
      <c r="Y12">
        <v>0.13910150386254511</v>
      </c>
      <c r="Z12">
        <v>-5.4746568755325073</v>
      </c>
      <c r="AA12">
        <v>-0.73010413800008644</v>
      </c>
      <c r="AB12">
        <v>0.13700143201677281</v>
      </c>
      <c r="AC12">
        <v>-5.3291715805620274</v>
      </c>
    </row>
    <row r="13" spans="2:29" x14ac:dyDescent="0.25">
      <c r="B13" t="s">
        <v>52</v>
      </c>
      <c r="C13">
        <v>-0.80677260661002015</v>
      </c>
      <c r="D13">
        <v>5.889376726145671E-2</v>
      </c>
      <c r="E13">
        <v>-13.698777377041999</v>
      </c>
      <c r="F13">
        <v>-0.83020000000000005</v>
      </c>
      <c r="G13">
        <v>6.1955306670808341E-2</v>
      </c>
      <c r="H13">
        <v>-13.78665034190429</v>
      </c>
      <c r="I13">
        <v>-0.87056148720070503</v>
      </c>
      <c r="J13">
        <v>6.2198692208044568E-2</v>
      </c>
      <c r="K13">
        <v>-13.99645967295932</v>
      </c>
      <c r="L13">
        <v>-0.85415614989588473</v>
      </c>
      <c r="M13">
        <v>6.1955306670808341E-2</v>
      </c>
      <c r="N13">
        <v>-13.78665034190429</v>
      </c>
      <c r="O13">
        <v>-0.99904558668252552</v>
      </c>
      <c r="P13">
        <v>7.2919525241500388E-2</v>
      </c>
      <c r="Q13">
        <v>-13.70065950613105</v>
      </c>
      <c r="R13">
        <v>-1.132791350835713</v>
      </c>
      <c r="S13">
        <v>7.7104850136980985E-2</v>
      </c>
      <c r="T13">
        <v>-14.69157061875157</v>
      </c>
      <c r="U13">
        <v>-1.2767852210729209</v>
      </c>
      <c r="V13">
        <v>9.1659688329151084E-2</v>
      </c>
      <c r="W13">
        <v>-13.929626473177271</v>
      </c>
      <c r="X13">
        <v>-1.2683452231489409</v>
      </c>
      <c r="Y13">
        <v>0.1019527470103478</v>
      </c>
      <c r="Z13">
        <v>-12.440520342430879</v>
      </c>
      <c r="AA13">
        <v>-1.330242206647223</v>
      </c>
      <c r="AB13">
        <v>0.10347429232979689</v>
      </c>
      <c r="AC13">
        <v>-12.85577486635451</v>
      </c>
    </row>
    <row r="14" spans="2:29" x14ac:dyDescent="0.25">
      <c r="B14" t="s">
        <v>54</v>
      </c>
      <c r="C14">
        <v>-0.86174483846816607</v>
      </c>
      <c r="D14">
        <v>5.8922634232687281E-2</v>
      </c>
      <c r="E14">
        <v>-14.62502228031947</v>
      </c>
      <c r="F14">
        <v>-0.76829999999999998</v>
      </c>
      <c r="G14">
        <v>6.6612833123810139E-2</v>
      </c>
      <c r="H14">
        <v>-13.56303267599314</v>
      </c>
      <c r="I14">
        <v>-0.8279911237191907</v>
      </c>
      <c r="J14">
        <v>6.7572689028281521E-2</v>
      </c>
      <c r="K14">
        <v>-12.25333985706337</v>
      </c>
      <c r="L14">
        <v>-0.90347203229871542</v>
      </c>
      <c r="M14">
        <v>6.6612833123810139E-2</v>
      </c>
      <c r="N14">
        <v>-13.56303267599314</v>
      </c>
      <c r="O14">
        <v>-1.0761403824251969</v>
      </c>
      <c r="P14">
        <v>6.990728390383856E-2</v>
      </c>
      <c r="Q14">
        <v>-15.39382339479087</v>
      </c>
      <c r="R14">
        <v>-0.97453780975154169</v>
      </c>
      <c r="S14">
        <v>7.6595390645363151E-2</v>
      </c>
      <c r="T14">
        <v>-12.723191324444761</v>
      </c>
      <c r="U14">
        <v>-1.1058345902927591</v>
      </c>
      <c r="V14">
        <v>8.899445286638423E-2</v>
      </c>
      <c r="W14">
        <v>-12.42588222833453</v>
      </c>
      <c r="X14">
        <v>-1.297014507435478</v>
      </c>
      <c r="Y14">
        <v>0.1012611669136769</v>
      </c>
      <c r="Z14">
        <v>-12.808607158765581</v>
      </c>
      <c r="AA14">
        <v>-0.92370118751639785</v>
      </c>
      <c r="AB14">
        <v>0.1015215808918654</v>
      </c>
      <c r="AC14">
        <v>-9.0985697760190316</v>
      </c>
    </row>
    <row r="15" spans="2:29" x14ac:dyDescent="0.25">
      <c r="B15" t="s">
        <v>56</v>
      </c>
      <c r="C15">
        <v>-0.56465120166629379</v>
      </c>
      <c r="D15">
        <v>5.416507583533204E-2</v>
      </c>
      <c r="E15">
        <v>-10.42463604007308</v>
      </c>
      <c r="F15">
        <v>-0.55310000000000004</v>
      </c>
      <c r="G15">
        <v>5.455425715403904E-2</v>
      </c>
      <c r="H15">
        <v>-11.060235410339949</v>
      </c>
      <c r="I15">
        <v>-0.56330427205650158</v>
      </c>
      <c r="J15">
        <v>5.3098605096860013E-2</v>
      </c>
      <c r="K15">
        <v>-10.60864538774508</v>
      </c>
      <c r="L15">
        <v>-0.60338292675989391</v>
      </c>
      <c r="M15">
        <v>5.455425715403904E-2</v>
      </c>
      <c r="N15">
        <v>-11.060235410339949</v>
      </c>
      <c r="O15">
        <v>-0.69712841702093586</v>
      </c>
      <c r="P15">
        <v>6.4235563173033652E-2</v>
      </c>
      <c r="Q15">
        <v>-10.85268630934325</v>
      </c>
      <c r="R15">
        <v>-0.67508083724754664</v>
      </c>
      <c r="S15">
        <v>6.4831648814703574E-2</v>
      </c>
      <c r="T15">
        <v>-10.412828450144881</v>
      </c>
      <c r="U15">
        <v>-0.80122571677348808</v>
      </c>
      <c r="V15">
        <v>7.5646346267260883E-2</v>
      </c>
      <c r="W15">
        <v>-10.591730550246711</v>
      </c>
      <c r="X15">
        <v>-0.82854838740382308</v>
      </c>
      <c r="Y15">
        <v>8.6312549742082773E-2</v>
      </c>
      <c r="Z15">
        <v>-9.5993964942487828</v>
      </c>
      <c r="AA15">
        <v>-0.82429868480373925</v>
      </c>
      <c r="AB15">
        <v>8.6335186843513434E-2</v>
      </c>
      <c r="AC15">
        <v>-9.5476562331163901</v>
      </c>
    </row>
    <row r="16" spans="2:29" x14ac:dyDescent="0.25">
      <c r="B16" t="s">
        <v>57</v>
      </c>
      <c r="C16">
        <v>0.5157483212830245</v>
      </c>
      <c r="D16">
        <v>0.1092662762682057</v>
      </c>
      <c r="E16">
        <v>4.7201052227410516</v>
      </c>
      <c r="F16">
        <v>0.52010000000000001</v>
      </c>
      <c r="G16">
        <v>0.1196003334243759</v>
      </c>
      <c r="H16">
        <v>3.7290535321169331</v>
      </c>
      <c r="I16">
        <v>0.37453732364517311</v>
      </c>
      <c r="J16">
        <v>0.12684796393885181</v>
      </c>
      <c r="K16">
        <v>2.952647500323474</v>
      </c>
      <c r="L16">
        <v>0.44599604579853191</v>
      </c>
      <c r="M16">
        <v>0.1196003334243759</v>
      </c>
      <c r="N16">
        <v>3.7290535321169331</v>
      </c>
      <c r="O16">
        <v>0.63785755982649139</v>
      </c>
      <c r="P16">
        <v>0.1126078132407882</v>
      </c>
      <c r="Q16">
        <v>5.6644165397525894</v>
      </c>
      <c r="R16">
        <v>0.42535590919769922</v>
      </c>
      <c r="S16">
        <v>0.14236802093224041</v>
      </c>
      <c r="T16">
        <v>2.9877208829091328</v>
      </c>
      <c r="U16">
        <v>0.54095198060831307</v>
      </c>
      <c r="V16">
        <v>0.15564010140044951</v>
      </c>
      <c r="W16">
        <v>3.475659394595787</v>
      </c>
      <c r="X16">
        <v>-0.76332288778690316</v>
      </c>
      <c r="Y16">
        <v>0.14087756849527699</v>
      </c>
      <c r="Z16">
        <v>-5.4183422949445212</v>
      </c>
      <c r="AA16">
        <v>0.34197447123510061</v>
      </c>
      <c r="AB16">
        <v>0.20955996751186429</v>
      </c>
      <c r="AC16">
        <v>1.631869270144545</v>
      </c>
    </row>
    <row r="17" spans="2:29" x14ac:dyDescent="0.25">
      <c r="B17" t="s">
        <v>59</v>
      </c>
      <c r="C17">
        <v>-0.46227432665675422</v>
      </c>
      <c r="D17">
        <v>4.2547474604491577E-2</v>
      </c>
      <c r="E17">
        <v>-10.86490634177272</v>
      </c>
      <c r="F17">
        <v>-0.46079999999999999</v>
      </c>
      <c r="G17">
        <v>4.2995655058216377E-2</v>
      </c>
      <c r="H17">
        <v>-11.19638031894803</v>
      </c>
      <c r="I17">
        <v>-0.48313502209356202</v>
      </c>
      <c r="J17">
        <v>4.2810049209214669E-2</v>
      </c>
      <c r="K17">
        <v>-11.28555166410716</v>
      </c>
      <c r="L17">
        <v>-0.48139570609409221</v>
      </c>
      <c r="M17">
        <v>4.2995655058216377E-2</v>
      </c>
      <c r="N17">
        <v>-11.19638031894803</v>
      </c>
      <c r="O17">
        <v>-0.54111350615555143</v>
      </c>
      <c r="P17">
        <v>5.0423553385355972E-2</v>
      </c>
      <c r="Q17">
        <v>-10.73136401197584</v>
      </c>
      <c r="R17">
        <v>-0.5582474248657332</v>
      </c>
      <c r="S17">
        <v>5.5318184740961993E-2</v>
      </c>
      <c r="T17">
        <v>-10.09157165007915</v>
      </c>
      <c r="U17">
        <v>-0.61136243589197348</v>
      </c>
      <c r="V17">
        <v>6.0434729945735552E-2</v>
      </c>
      <c r="W17">
        <v>-10.11607789827003</v>
      </c>
      <c r="X17">
        <v>-0.6262084538235857</v>
      </c>
      <c r="Y17">
        <v>6.6765352357373312E-2</v>
      </c>
      <c r="Z17">
        <v>-9.3792428514672501</v>
      </c>
      <c r="AA17">
        <v>-0.62610091288523395</v>
      </c>
      <c r="AB17">
        <v>7.0137327404801456E-2</v>
      </c>
      <c r="AC17">
        <v>-8.9267860075656724</v>
      </c>
    </row>
    <row r="18" spans="2:29" x14ac:dyDescent="0.25">
      <c r="B18" t="s">
        <v>60</v>
      </c>
      <c r="C18">
        <v>0.62652206272601729</v>
      </c>
      <c r="D18">
        <v>6.5550613741023514E-2</v>
      </c>
      <c r="E18">
        <v>9.5578367153246226</v>
      </c>
      <c r="F18">
        <v>0.6724</v>
      </c>
      <c r="G18">
        <v>6.6473923610018776E-2</v>
      </c>
      <c r="H18">
        <v>9.6034297865423657</v>
      </c>
      <c r="I18">
        <v>0.60273830476913048</v>
      </c>
      <c r="J18">
        <v>6.8642692878955316E-2</v>
      </c>
      <c r="K18">
        <v>8.7808079708061655</v>
      </c>
      <c r="L18">
        <v>0.63837765802479618</v>
      </c>
      <c r="M18">
        <v>6.6473923610018776E-2</v>
      </c>
      <c r="N18">
        <v>9.6034297865423657</v>
      </c>
      <c r="O18">
        <v>0.77076730283363837</v>
      </c>
      <c r="P18">
        <v>7.2243637068421601E-2</v>
      </c>
      <c r="Q18">
        <v>10.66899915495185</v>
      </c>
      <c r="R18">
        <v>0.83454958653342071</v>
      </c>
      <c r="S18">
        <v>7.6509566241676097E-2</v>
      </c>
      <c r="T18">
        <v>10.907780915882739</v>
      </c>
      <c r="U18">
        <v>0.79408245282003576</v>
      </c>
      <c r="V18">
        <v>9.0207304261155433E-2</v>
      </c>
      <c r="W18">
        <v>8.8028620223604115</v>
      </c>
      <c r="X18">
        <v>0.83050919271363788</v>
      </c>
      <c r="Y18">
        <v>9.2971748109908353E-2</v>
      </c>
      <c r="Z18">
        <v>8.9329200493448333</v>
      </c>
      <c r="AA18">
        <v>0.84433063893526172</v>
      </c>
      <c r="AB18">
        <v>9.9764365882862166E-2</v>
      </c>
      <c r="AC18">
        <v>8.4632486906860951</v>
      </c>
    </row>
    <row r="19" spans="2:29" x14ac:dyDescent="0.25">
      <c r="B19" t="s">
        <v>62</v>
      </c>
      <c r="C19">
        <v>-0.13916009487782399</v>
      </c>
      <c r="D19">
        <v>3.975405412674788E-2</v>
      </c>
      <c r="E19">
        <v>-3.5005258692393939</v>
      </c>
      <c r="F19">
        <v>-0.1237</v>
      </c>
      <c r="G19">
        <v>4.0687926044609343E-2</v>
      </c>
      <c r="H19">
        <v>-3.6735312409943401</v>
      </c>
      <c r="I19">
        <v>-0.13838719903513619</v>
      </c>
      <c r="J19">
        <v>3.9066966234472728E-2</v>
      </c>
      <c r="K19">
        <v>-3.5423072834619842</v>
      </c>
      <c r="L19">
        <v>-0.1494683674561397</v>
      </c>
      <c r="M19">
        <v>4.0687926044609343E-2</v>
      </c>
      <c r="N19">
        <v>-3.6735312409943401</v>
      </c>
      <c r="O19">
        <v>-0.2044215234155794</v>
      </c>
      <c r="P19">
        <v>4.5555660761679953E-2</v>
      </c>
      <c r="Q19">
        <v>-4.487291370549773</v>
      </c>
      <c r="R19">
        <v>-0.20961845237162441</v>
      </c>
      <c r="S19">
        <v>4.9412626448283849E-2</v>
      </c>
      <c r="T19">
        <v>-4.2422042186123194</v>
      </c>
      <c r="U19">
        <v>-0.27471500490879491</v>
      </c>
      <c r="V19">
        <v>5.8134525107308078E-2</v>
      </c>
      <c r="W19">
        <v>-4.7255052724987427</v>
      </c>
      <c r="X19">
        <v>-0.26681555689958492</v>
      </c>
      <c r="Y19">
        <v>6.391160387970117E-2</v>
      </c>
      <c r="Z19">
        <v>-4.1747592096390438</v>
      </c>
      <c r="AA19">
        <v>-0.21957871589210601</v>
      </c>
      <c r="AB19">
        <v>6.4659014805836995E-2</v>
      </c>
      <c r="AC19">
        <v>-3.3959489879558729</v>
      </c>
    </row>
    <row r="20" spans="2:29" x14ac:dyDescent="0.25">
      <c r="B20" t="s">
        <v>63</v>
      </c>
      <c r="C20">
        <v>-0.4769212682099539</v>
      </c>
      <c r="D20">
        <v>6.9779849160298377E-2</v>
      </c>
      <c r="E20">
        <v>-6.8346560496909303</v>
      </c>
      <c r="F20">
        <v>-0.46339999999999998</v>
      </c>
      <c r="G20">
        <v>7.6531552329075409E-2</v>
      </c>
      <c r="H20">
        <v>-5.8659708857659467</v>
      </c>
      <c r="I20">
        <v>-0.32208363554788982</v>
      </c>
      <c r="J20">
        <v>9.358672146214346E-2</v>
      </c>
      <c r="K20">
        <v>-3.4415527172642228</v>
      </c>
      <c r="L20">
        <v>-0.44893185780482942</v>
      </c>
      <c r="M20">
        <v>7.6531552329075409E-2</v>
      </c>
      <c r="N20">
        <v>-5.8659708857659467</v>
      </c>
      <c r="O20">
        <v>-0.37210117782308549</v>
      </c>
      <c r="P20">
        <v>9.1296173350299131E-2</v>
      </c>
      <c r="Q20">
        <v>-4.0757587549190131</v>
      </c>
      <c r="R20">
        <v>-0.39739186320744468</v>
      </c>
      <c r="S20">
        <v>9.722221179440356E-2</v>
      </c>
      <c r="T20">
        <v>-4.0874596028303882</v>
      </c>
      <c r="U20">
        <v>0.57852917637252654</v>
      </c>
      <c r="V20">
        <v>0.1006335837196089</v>
      </c>
      <c r="W20">
        <v>5.7488678728212417</v>
      </c>
      <c r="X20">
        <v>-0.56678388230644339</v>
      </c>
      <c r="Y20">
        <v>0.102454589262731</v>
      </c>
      <c r="Z20">
        <v>-5.5320497245174902</v>
      </c>
      <c r="AA20">
        <v>-0.4209005509194037</v>
      </c>
      <c r="AB20">
        <v>0.13633919491139079</v>
      </c>
      <c r="AC20">
        <v>-3.087157373878834</v>
      </c>
    </row>
    <row r="21" spans="2:29" x14ac:dyDescent="0.25">
      <c r="B21" t="s">
        <v>265</v>
      </c>
      <c r="C21">
        <v>0.18860864748547601</v>
      </c>
      <c r="D21">
        <v>4.0485254168670007E-2</v>
      </c>
      <c r="E21">
        <v>4.6586998490782134</v>
      </c>
      <c r="F21">
        <v>0.16969999999999999</v>
      </c>
      <c r="G21">
        <v>4.2214253075917182E-2</v>
      </c>
      <c r="H21">
        <v>4.6424837827834651</v>
      </c>
      <c r="I21">
        <v>0.17474195364971179</v>
      </c>
      <c r="J21">
        <v>4.1155976252330459E-2</v>
      </c>
      <c r="K21">
        <v>4.2458464009784489</v>
      </c>
      <c r="L21">
        <v>0.19597898530726249</v>
      </c>
      <c r="M21">
        <v>4.2214253075917182E-2</v>
      </c>
      <c r="N21">
        <v>4.6424837827834651</v>
      </c>
      <c r="O21">
        <v>0.19379862265822889</v>
      </c>
      <c r="P21">
        <v>4.7014846590693077E-2</v>
      </c>
      <c r="Q21">
        <v>4.1220728495707286</v>
      </c>
      <c r="R21">
        <v>0.18325635656019251</v>
      </c>
      <c r="S21">
        <v>5.0323731607816953E-2</v>
      </c>
      <c r="T21">
        <v>3.6415494381129458</v>
      </c>
      <c r="U21">
        <v>0.17987210627754949</v>
      </c>
      <c r="V21">
        <v>5.8757109244083172E-2</v>
      </c>
      <c r="W21">
        <v>3.0612824318899339</v>
      </c>
      <c r="X21">
        <v>0.2349273661384145</v>
      </c>
      <c r="Y21">
        <v>6.3625785568532073E-2</v>
      </c>
      <c r="Z21">
        <v>3.692329517650851</v>
      </c>
      <c r="AA21">
        <v>0.23712479220903779</v>
      </c>
      <c r="AB21">
        <v>6.6601039455895822E-2</v>
      </c>
      <c r="AC21">
        <v>3.5603767470636152</v>
      </c>
    </row>
    <row r="22" spans="2:29" x14ac:dyDescent="0.25">
      <c r="B22" t="s">
        <v>266</v>
      </c>
      <c r="C22">
        <v>0.73664507874299456</v>
      </c>
      <c r="D22">
        <v>5.7537492039334073E-2</v>
      </c>
      <c r="E22">
        <v>12.80287083488807</v>
      </c>
      <c r="F22">
        <v>0.69199999999999995</v>
      </c>
      <c r="G22">
        <v>6.0874623547277518E-2</v>
      </c>
      <c r="H22">
        <v>12.306958822403599</v>
      </c>
      <c r="I22">
        <v>0.70006699541501316</v>
      </c>
      <c r="J22">
        <v>6.223852483125572E-2</v>
      </c>
      <c r="K22">
        <v>11.24812963213814</v>
      </c>
      <c r="L22">
        <v>0.74918148532566509</v>
      </c>
      <c r="M22">
        <v>6.0874623547277518E-2</v>
      </c>
      <c r="N22">
        <v>12.306958822403599</v>
      </c>
      <c r="O22">
        <v>0.82480947035471275</v>
      </c>
      <c r="P22">
        <v>6.6676069671759083E-2</v>
      </c>
      <c r="Q22">
        <v>12.37039727169258</v>
      </c>
      <c r="R22">
        <v>0.85023340050397189</v>
      </c>
      <c r="S22">
        <v>7.3630193681123807E-2</v>
      </c>
      <c r="T22">
        <v>11.54734705963353</v>
      </c>
      <c r="U22">
        <v>-0.9692606733157183</v>
      </c>
      <c r="V22">
        <v>8.0069578904450323E-2</v>
      </c>
      <c r="W22">
        <v>-12.105230058376719</v>
      </c>
      <c r="X22">
        <v>0.96792761620625212</v>
      </c>
      <c r="Y22">
        <v>9.1748197591309213E-2</v>
      </c>
      <c r="Z22">
        <v>10.5498270442093</v>
      </c>
      <c r="AA22">
        <v>0.87725659161428793</v>
      </c>
      <c r="AB22">
        <v>9.4817523127104258E-2</v>
      </c>
      <c r="AC22">
        <v>9.2520513369486856</v>
      </c>
    </row>
    <row r="23" spans="2:29" x14ac:dyDescent="0.25">
      <c r="B23" t="s">
        <v>267</v>
      </c>
      <c r="C23">
        <v>0.23801428957491871</v>
      </c>
      <c r="D23">
        <v>4.0801309985146472E-2</v>
      </c>
      <c r="E23">
        <v>5.8334962691532857</v>
      </c>
      <c r="F23">
        <v>0.23330000000000001</v>
      </c>
      <c r="G23">
        <v>4.218960487525255E-2</v>
      </c>
      <c r="H23">
        <v>5.8858401359827583</v>
      </c>
      <c r="I23">
        <v>0.22775178960193851</v>
      </c>
      <c r="J23">
        <v>4.2562560293243443E-2</v>
      </c>
      <c r="K23">
        <v>5.3509889450445653</v>
      </c>
      <c r="L23">
        <v>0.24832126969601531</v>
      </c>
      <c r="M23">
        <v>4.218960487525255E-2</v>
      </c>
      <c r="N23">
        <v>5.8858401359827583</v>
      </c>
      <c r="O23">
        <v>0.25916614175807762</v>
      </c>
      <c r="P23">
        <v>4.8556547365706651E-2</v>
      </c>
      <c r="Q23">
        <v>5.337408770153111</v>
      </c>
      <c r="R23">
        <v>0.25725191636577949</v>
      </c>
      <c r="S23">
        <v>5.2806428932490247E-2</v>
      </c>
      <c r="T23">
        <v>4.8716022190150401</v>
      </c>
      <c r="U23">
        <v>0.23803039457881969</v>
      </c>
      <c r="V23">
        <v>5.9985064843646838E-2</v>
      </c>
      <c r="W23">
        <v>3.9681609947285081</v>
      </c>
      <c r="X23">
        <v>0.23826006306726</v>
      </c>
      <c r="Y23">
        <v>6.6135844276105249E-2</v>
      </c>
      <c r="Z23">
        <v>3.6025859452639191</v>
      </c>
      <c r="AA23">
        <v>0.27362634707668437</v>
      </c>
      <c r="AB23">
        <v>7.0441014728753179E-2</v>
      </c>
      <c r="AC23">
        <v>3.8844748067633019</v>
      </c>
    </row>
    <row r="24" spans="2:29" x14ac:dyDescent="0.25">
      <c r="B24" t="s">
        <v>268</v>
      </c>
      <c r="C24">
        <v>-0.98849191779529266</v>
      </c>
      <c r="D24">
        <v>5.0563776082676488E-2</v>
      </c>
      <c r="E24">
        <v>-19.549408576191311</v>
      </c>
      <c r="F24">
        <v>-0.97250000000000003</v>
      </c>
      <c r="G24">
        <v>5.1694727866867941E-2</v>
      </c>
      <c r="H24">
        <v>-19.437158594055539</v>
      </c>
      <c r="I24">
        <v>-1.020990926264876</v>
      </c>
      <c r="J24">
        <v>5.2150456397438247E-2</v>
      </c>
      <c r="K24">
        <v>-19.57779465023108</v>
      </c>
      <c r="L24">
        <v>-1.004798624024855</v>
      </c>
      <c r="M24">
        <v>5.1694727866867941E-2</v>
      </c>
      <c r="N24">
        <v>-19.437158594055539</v>
      </c>
      <c r="O24">
        <v>-1.1193141983709161</v>
      </c>
      <c r="P24">
        <v>6.0445811566005189E-2</v>
      </c>
      <c r="Q24">
        <v>-18.517646953067288</v>
      </c>
      <c r="R24">
        <v>-1.1521615910478979</v>
      </c>
      <c r="S24">
        <v>6.4722309427492311E-2</v>
      </c>
      <c r="T24">
        <v>-17.801614331124131</v>
      </c>
      <c r="U24">
        <v>-1.2406471816915059</v>
      </c>
      <c r="V24">
        <v>7.594027111874263E-2</v>
      </c>
      <c r="W24">
        <v>-16.337144487561691</v>
      </c>
      <c r="X24">
        <v>-1.2903364842135361</v>
      </c>
      <c r="Y24">
        <v>8.4886659184324517E-2</v>
      </c>
      <c r="Z24">
        <v>-15.200698161670781</v>
      </c>
      <c r="AA24">
        <v>-1.280629310401743</v>
      </c>
      <c r="AB24">
        <v>8.9769385959016276E-2</v>
      </c>
      <c r="AC24">
        <v>-14.265768855614169</v>
      </c>
    </row>
    <row r="25" spans="2:29" x14ac:dyDescent="0.25">
      <c r="B25" t="s">
        <v>71</v>
      </c>
      <c r="C25">
        <v>0.92006072384306992</v>
      </c>
      <c r="D25">
        <v>3.8907056605780047E-2</v>
      </c>
      <c r="E25">
        <v>23.64765685478211</v>
      </c>
      <c r="F25">
        <v>0.94259999999999999</v>
      </c>
      <c r="G25">
        <v>4.0771444876447939E-2</v>
      </c>
      <c r="H25">
        <v>23.44068725121528</v>
      </c>
      <c r="I25">
        <v>0.92952253387325345</v>
      </c>
      <c r="J25">
        <v>3.9686629562530953E-2</v>
      </c>
      <c r="K25">
        <v>23.42155391171935</v>
      </c>
      <c r="L25">
        <v>0.95571068812897975</v>
      </c>
      <c r="M25">
        <v>4.0771444876447939E-2</v>
      </c>
      <c r="N25">
        <v>23.44068725121528</v>
      </c>
      <c r="O25">
        <v>0.90052714560756519</v>
      </c>
      <c r="P25">
        <v>4.2986944348040998E-2</v>
      </c>
      <c r="Q25">
        <v>20.94885224491664</v>
      </c>
      <c r="R25">
        <v>0.91097638131414138</v>
      </c>
      <c r="S25">
        <v>4.5512742248418912E-2</v>
      </c>
      <c r="T25">
        <v>20.01585350190118</v>
      </c>
      <c r="U25">
        <v>0.86110797010842</v>
      </c>
      <c r="V25">
        <v>4.7475790638349162E-2</v>
      </c>
      <c r="W25">
        <v>18.137833167813518</v>
      </c>
      <c r="X25">
        <v>0.83767159306622341</v>
      </c>
      <c r="Y25">
        <v>4.9720650772606359E-2</v>
      </c>
      <c r="Z25">
        <v>16.84755891263876</v>
      </c>
      <c r="AA25">
        <v>0.84111134545299793</v>
      </c>
      <c r="AB25">
        <v>5.2548323771881227E-2</v>
      </c>
      <c r="AC25">
        <v>16.006435316649991</v>
      </c>
    </row>
    <row r="26" spans="2:29" x14ac:dyDescent="0.25">
      <c r="B26" t="s">
        <v>73</v>
      </c>
      <c r="C26">
        <v>0.94259473976841657</v>
      </c>
      <c r="D26">
        <v>3.9582928338855732E-2</v>
      </c>
      <c r="E26">
        <v>23.8131633844568</v>
      </c>
      <c r="F26">
        <v>0.94779999999999998</v>
      </c>
      <c r="G26">
        <v>4.4220529921789688E-2</v>
      </c>
      <c r="H26">
        <v>22.337420421519209</v>
      </c>
      <c r="I26">
        <v>0.94403405651837313</v>
      </c>
      <c r="J26">
        <v>4.0847632005852418E-2</v>
      </c>
      <c r="K26">
        <v>23.111108530920891</v>
      </c>
      <c r="L26">
        <v>0.98777256812538639</v>
      </c>
      <c r="M26">
        <v>4.4220529921789688E-2</v>
      </c>
      <c r="N26">
        <v>22.337420421519209</v>
      </c>
      <c r="O26">
        <v>0.97840613350107786</v>
      </c>
      <c r="P26">
        <v>4.8731559933178598E-2</v>
      </c>
      <c r="Q26">
        <v>20.077463862077931</v>
      </c>
      <c r="R26">
        <v>0.97997341652916936</v>
      </c>
      <c r="S26">
        <v>5.1724805430680899E-2</v>
      </c>
      <c r="T26">
        <v>18.945908222747839</v>
      </c>
      <c r="U26">
        <v>0.90269771447367952</v>
      </c>
      <c r="V26">
        <v>5.2568536115855623E-2</v>
      </c>
      <c r="W26">
        <v>17.171825224203069</v>
      </c>
      <c r="X26">
        <v>0.92894467230683919</v>
      </c>
      <c r="Y26">
        <v>5.9355272255189391E-2</v>
      </c>
      <c r="Z26">
        <v>15.650583966879569</v>
      </c>
      <c r="AA26">
        <v>0.90173253666886444</v>
      </c>
      <c r="AB26">
        <v>6.0040942719563027E-2</v>
      </c>
      <c r="AC26">
        <v>15.018627220439271</v>
      </c>
    </row>
    <row r="27" spans="2:29" x14ac:dyDescent="0.25">
      <c r="B27" t="s">
        <v>269</v>
      </c>
      <c r="C27">
        <v>0.45213751483225451</v>
      </c>
      <c r="F27">
        <v>0.45003503016175472</v>
      </c>
      <c r="I27">
        <v>0.45428505834326199</v>
      </c>
      <c r="L27">
        <v>0.45003503016175472</v>
      </c>
      <c r="O27">
        <v>0.44325561626105969</v>
      </c>
      <c r="R27">
        <v>0.43382447066352858</v>
      </c>
      <c r="U27">
        <v>0.42782557956491701</v>
      </c>
      <c r="X27">
        <v>0.42023104237548281</v>
      </c>
      <c r="AA27">
        <v>0.41956504010603451</v>
      </c>
    </row>
    <row r="28" spans="2:29" x14ac:dyDescent="0.25">
      <c r="B28" t="s">
        <v>270</v>
      </c>
      <c r="C28">
        <v>0.25</v>
      </c>
      <c r="F28">
        <v>0.25</v>
      </c>
      <c r="I28">
        <v>0.25</v>
      </c>
      <c r="L28">
        <v>0.25</v>
      </c>
      <c r="O28">
        <v>0.25</v>
      </c>
      <c r="R28">
        <v>0.25</v>
      </c>
      <c r="U28">
        <v>0.25</v>
      </c>
      <c r="X28">
        <v>0.25</v>
      </c>
      <c r="AA28">
        <v>0.25</v>
      </c>
    </row>
    <row r="29" spans="2:29" x14ac:dyDescent="0.25">
      <c r="B29" t="s">
        <v>271</v>
      </c>
      <c r="C29">
        <v>0.19861042938130491</v>
      </c>
      <c r="F29">
        <v>0.20252241570836571</v>
      </c>
      <c r="I29">
        <v>0.2003597079540623</v>
      </c>
      <c r="L29">
        <v>0.20252241570836571</v>
      </c>
      <c r="O29">
        <v>0.20235930546861519</v>
      </c>
      <c r="R29">
        <v>0.2041323884814768</v>
      </c>
      <c r="U29">
        <v>0.20558301267803081</v>
      </c>
      <c r="X29">
        <v>0.2043172835368034</v>
      </c>
      <c r="AA29">
        <v>0.20497375192168901</v>
      </c>
    </row>
    <row r="30" spans="2:29" x14ac:dyDescent="0.25">
      <c r="B30" t="s">
        <v>272</v>
      </c>
      <c r="C30">
        <v>0.28983051589032</v>
      </c>
      <c r="F30">
        <v>0.29384523886319708</v>
      </c>
      <c r="I30">
        <v>0.29516682493656021</v>
      </c>
      <c r="L30">
        <v>0.29384523886319708</v>
      </c>
      <c r="O30">
        <v>0.29450148346711291</v>
      </c>
      <c r="R30">
        <v>0.29582698584818862</v>
      </c>
      <c r="U30">
        <v>0.29340299297678069</v>
      </c>
      <c r="X30">
        <v>0.29483887550565752</v>
      </c>
      <c r="AA30">
        <v>0.29653914100016099</v>
      </c>
    </row>
    <row r="31" spans="2:29" x14ac:dyDescent="0.25">
      <c r="B31" t="s">
        <v>273</v>
      </c>
      <c r="C31">
        <v>0.43670311585177651</v>
      </c>
      <c r="F31">
        <v>0.42951474794719668</v>
      </c>
      <c r="I31">
        <v>0.43963126201625341</v>
      </c>
      <c r="L31">
        <v>0.42951474794719668</v>
      </c>
      <c r="O31">
        <v>0.41665480404699612</v>
      </c>
      <c r="R31">
        <v>0.40856536104403463</v>
      </c>
      <c r="U31">
        <v>0.40346224734200342</v>
      </c>
      <c r="X31">
        <v>0.40285831513919401</v>
      </c>
      <c r="AA31">
        <v>0.39851147969254419</v>
      </c>
    </row>
    <row r="32" spans="2:29" x14ac:dyDescent="0.25">
      <c r="B32" t="s">
        <v>274</v>
      </c>
      <c r="C32">
        <v>0.83592494720213784</v>
      </c>
      <c r="F32">
        <v>0.82894308068514522</v>
      </c>
      <c r="I32">
        <v>0.83491939131920412</v>
      </c>
      <c r="L32">
        <v>0.82894308068514522</v>
      </c>
      <c r="O32">
        <v>0.82367213067269129</v>
      </c>
      <c r="R32">
        <v>0.72113774836292932</v>
      </c>
      <c r="U32">
        <v>0.69984477546889035</v>
      </c>
      <c r="X32">
        <v>0.67604357802841175</v>
      </c>
      <c r="AA32">
        <v>0.67521405059926165</v>
      </c>
    </row>
    <row r="33" spans="1:27" x14ac:dyDescent="0.25">
      <c r="B33" t="s">
        <v>275</v>
      </c>
      <c r="C33">
        <v>0.84393807634712736</v>
      </c>
      <c r="F33">
        <v>0.83642291481206787</v>
      </c>
      <c r="I33">
        <v>0.84209478523775394</v>
      </c>
      <c r="L33">
        <v>0.83642291481206787</v>
      </c>
      <c r="O33">
        <v>0.83522440594300562</v>
      </c>
      <c r="R33">
        <v>0.82218360990271322</v>
      </c>
      <c r="U33">
        <v>0.82452387783857162</v>
      </c>
      <c r="X33">
        <v>0.81731606237085086</v>
      </c>
      <c r="AA33">
        <v>0.81797779845717067</v>
      </c>
    </row>
    <row r="38" spans="1:27" x14ac:dyDescent="0.25">
      <c r="C38" t="s">
        <v>264</v>
      </c>
      <c r="D38" t="s">
        <v>279</v>
      </c>
      <c r="E38" t="s">
        <v>278</v>
      </c>
      <c r="F38" t="s">
        <v>281</v>
      </c>
      <c r="G38" t="s">
        <v>280</v>
      </c>
      <c r="H38" t="s">
        <v>277</v>
      </c>
      <c r="I38" t="s">
        <v>282</v>
      </c>
      <c r="J38" t="s">
        <v>283</v>
      </c>
      <c r="K38" t="s">
        <v>284</v>
      </c>
    </row>
    <row r="39" spans="1:27" x14ac:dyDescent="0.25">
      <c r="A39" s="3" t="s">
        <v>26</v>
      </c>
      <c r="B39" t="s">
        <v>27</v>
      </c>
      <c r="C39" t="str">
        <f>_xlfn.CONCAT(ROUND(C3,3)," ",IF(ABS(E3)&gt;2.01,"***",IF(ABS(E3)&gt;1.96,"**",IF(ABS(E3)&gt;1.69,"*",""))),CHAR(10),"(",ROUND(D3,3),")")</f>
        <v>1.487 ***
(0.09)</v>
      </c>
      <c r="D39" t="str">
        <f>_xlfn.CONCAT(ROUND(F3,3)," ",IF(ABS(H3)&gt;2.01,"***",IF(ABS(H3)&gt;1.96,"**",IF(ABS(H3)&gt;1.69,"*",""))),CHAR(10),"(",ROUND(G3,3),")")</f>
        <v>1.51 ***
(0.093)</v>
      </c>
      <c r="E39" t="str">
        <f>_xlfn.CONCAT(ROUND(I3,3)," ",IF(ABS(K3)&gt;2.01,"***",IF(ABS(K3)&gt;1.96,"**",IF(ABS(K3)&gt;1.69,"*",""))),CHAR(10),"(",ROUND(J3,3),")")</f>
        <v>1.587 ***
(0.094)</v>
      </c>
      <c r="F39" t="str">
        <f t="shared" ref="F39:F62" si="0">_xlfn.CONCAT(ROUND(L3,3)," ",IF(ABS(N3)&gt;2.01,"***",IF(ABS(N3)&gt;1.96,"**",IF(ABS(N3)&gt;1.69,"*",""))),CHAR(10),"(",ROUND(M3,3),")")</f>
        <v>1.7 ***
(0.093)</v>
      </c>
      <c r="G39" t="str">
        <f t="shared" ref="G39:G62" si="1">_xlfn.CONCAT(ROUND(O3,3)," ",IF(ABS(Q3)&gt;2.01,"***",IF(ABS(Q3)&gt;1.96,"**",IF(ABS(Q3)&gt;1.69,"*",""))),CHAR(10),"(",ROUND(P3,3),")")</f>
        <v>1.944 ***
(0.106)</v>
      </c>
      <c r="H39" t="str">
        <f t="shared" ref="H39:H62" si="2">_xlfn.CONCAT(ROUND(R3,3)," ",IF(ABS(T3)&gt;2.01,"***",IF(ABS(T3)&gt;1.96,"**",IF(ABS(T3)&gt;1.69,"*",""))),CHAR(10),"(",ROUND(S3,3),")")</f>
        <v>1.981 ***
(0.115)</v>
      </c>
      <c r="I39" t="str">
        <f t="shared" ref="I39:I62" si="3">_xlfn.CONCAT(ROUND(U3,3)," ",IF(ABS(W3)&gt;2.01,"***",IF(ABS(W3)&gt;1.96,"**",IF(ABS(W3)&gt;1.69,"*",""))),CHAR(10),"(",ROUND(V3,3),")")</f>
        <v>2.373 ***
(0.133)</v>
      </c>
      <c r="J39" t="str">
        <f t="shared" ref="J39:J62" si="4">_xlfn.CONCAT(ROUND(X3,3)," ",IF(ABS(Z3)&gt;2.01,"***",IF(ABS(Z3)&gt;1.96,"**",IF(ABS(Z3)&gt;1.69,"*",""))),CHAR(10),"(",ROUND(Y3,3),")")</f>
        <v>2.426 ***
(0.145)</v>
      </c>
      <c r="K39" t="str">
        <f t="shared" ref="K39:K62" si="5">_xlfn.CONCAT(ROUND(AA3,3)," ",IF(ABS(AC3)&gt;2.01,"***",IF(ABS(AC3)&gt;1.96,"**",IF(ABS(AC3)&gt;1.69,"*",""))),CHAR(10),"(",ROUND(AB3,3),")")</f>
        <v>2.532 ***
(0.16)</v>
      </c>
    </row>
    <row r="40" spans="1:27" x14ac:dyDescent="0.25">
      <c r="B40" t="s">
        <v>29</v>
      </c>
      <c r="C40" t="str">
        <f t="shared" ref="C40:C62" si="6">_xlfn.CONCAT(ROUND(C4,3)," ",IF(ABS(E4)&gt;2.01,"***",IF(ABS(E4)&gt;1.96,"**",IF(ABS(E4)&gt;1.69,"*",""))),CHAR(10),"(",ROUND(D4,3),")")</f>
        <v>2.119 ***
(0.102)</v>
      </c>
      <c r="D40" t="str">
        <f t="shared" ref="D40:D62" si="7">_xlfn.CONCAT(ROUND(F4,3)," ",IF(ABS(H4)&gt;2.01,"***",IF(ABS(H4)&gt;1.96,"**",IF(ABS(H4)&gt;1.69,"*",""))),CHAR(10),"(",ROUND(G4,3),")")</f>
        <v>2.085 ***
(0.102)</v>
      </c>
      <c r="E40" t="str">
        <f t="shared" ref="E40:E62" si="8">_xlfn.CONCAT(ROUND(I4,3)," ",IF(ABS(K4)&gt;2.01,"***",IF(ABS(K4)&gt;1.96,"**",IF(ABS(K4)&gt;1.69,"*",""))),CHAR(10),"(",ROUND(J4,3),")")</f>
        <v>2.136 ***
(0.105)</v>
      </c>
      <c r="F40" t="str">
        <f t="shared" si="0"/>
        <v>2.041 ***
(0.102)</v>
      </c>
      <c r="G40" t="str">
        <f t="shared" si="1"/>
        <v>1.965 ***
(0.11)</v>
      </c>
      <c r="H40" t="str">
        <f t="shared" si="2"/>
        <v>2.013 ***
(0.119)</v>
      </c>
      <c r="I40" t="str">
        <f t="shared" si="3"/>
        <v>1.937 ***
(0.13)</v>
      </c>
      <c r="J40" t="str">
        <f t="shared" si="4"/>
        <v>1.961 ***
(0.149)</v>
      </c>
      <c r="K40" t="str">
        <f t="shared" si="5"/>
        <v>1.884 ***
(0.149)</v>
      </c>
    </row>
    <row r="41" spans="1:27" x14ac:dyDescent="0.25">
      <c r="A41" s="3" t="s">
        <v>31</v>
      </c>
      <c r="B41" t="s">
        <v>32</v>
      </c>
      <c r="C41" t="str">
        <f t="shared" si="6"/>
        <v>2.101 ***
(0.102)</v>
      </c>
      <c r="D41" t="str">
        <f t="shared" si="7"/>
        <v>2.101 ***
(0.106)</v>
      </c>
      <c r="E41" t="str">
        <f t="shared" si="8"/>
        <v>2.172 ***
(0.106)</v>
      </c>
      <c r="F41" t="str">
        <f t="shared" si="0"/>
        <v>2.173 ***
(0.106)</v>
      </c>
      <c r="G41" t="str">
        <f t="shared" si="1"/>
        <v>2.49 ***
(0.121)</v>
      </c>
      <c r="H41" t="str">
        <f t="shared" si="2"/>
        <v>2.681 ***
(0.13)</v>
      </c>
      <c r="I41" t="str">
        <f t="shared" si="3"/>
        <v>2.873 ***
(0.147)</v>
      </c>
      <c r="J41" t="str">
        <f t="shared" si="4"/>
        <v>2.944 ***
(0.166)</v>
      </c>
      <c r="K41" t="str">
        <f t="shared" si="5"/>
        <v>2.988 ***
(0.174)</v>
      </c>
    </row>
    <row r="42" spans="1:27" x14ac:dyDescent="0.25">
      <c r="B42" t="s">
        <v>34</v>
      </c>
      <c r="C42" t="str">
        <f t="shared" si="6"/>
        <v>-2.79 ***
(0.117)</v>
      </c>
      <c r="D42" t="str">
        <f t="shared" si="7"/>
        <v>-2.768 ***
(0.118)</v>
      </c>
      <c r="E42" t="str">
        <f t="shared" si="8"/>
        <v>-2.812 ***
(0.121)</v>
      </c>
      <c r="F42" t="str">
        <f t="shared" si="0"/>
        <v>-2.783 ***
(0.118)</v>
      </c>
      <c r="G42" t="str">
        <f t="shared" si="1"/>
        <v>-2.638 ***
(0.128)</v>
      </c>
      <c r="H42" t="str">
        <f t="shared" si="2"/>
        <v>-2.48 ***
(0.126)</v>
      </c>
      <c r="I42" t="str">
        <f t="shared" si="3"/>
        <v>-2.536 ***
(0.14)</v>
      </c>
      <c r="J42" t="str">
        <f t="shared" si="4"/>
        <v>-2.51 ***
(0.156)</v>
      </c>
      <c r="K42" t="str">
        <f t="shared" si="5"/>
        <v>-2.359 ***
(0.154)</v>
      </c>
    </row>
    <row r="43" spans="1:27" x14ac:dyDescent="0.25">
      <c r="A43" s="3" t="s">
        <v>36</v>
      </c>
      <c r="B43" t="s">
        <v>37</v>
      </c>
      <c r="C43" t="str">
        <f t="shared" si="6"/>
        <v>5.303 ***
(0.202)</v>
      </c>
      <c r="D43" t="str">
        <f t="shared" si="7"/>
        <v>5.261 ***
(0.203)</v>
      </c>
      <c r="E43" t="str">
        <f t="shared" si="8"/>
        <v>5.452 ***
(0.214)</v>
      </c>
      <c r="F43" t="str">
        <f t="shared" si="0"/>
        <v>5.228 ***
(0.203)</v>
      </c>
      <c r="G43" t="str">
        <f t="shared" si="1"/>
        <v>5.758 ***
(0.248)</v>
      </c>
      <c r="H43" t="str">
        <f t="shared" si="2"/>
        <v>5.771 ***
(0.26)</v>
      </c>
      <c r="I43" t="str">
        <f t="shared" si="3"/>
        <v>6.428 ***
(0.31)</v>
      </c>
      <c r="J43" t="str">
        <f t="shared" si="4"/>
        <v>6.284 ***
(0.328)</v>
      </c>
      <c r="K43" t="str">
        <f t="shared" si="5"/>
        <v>6.374 ***
(0.36)</v>
      </c>
    </row>
    <row r="44" spans="1:27" x14ac:dyDescent="0.25">
      <c r="B44" t="s">
        <v>39</v>
      </c>
      <c r="C44" t="str">
        <f t="shared" si="6"/>
        <v>-4.083 ***
(0.162)</v>
      </c>
      <c r="D44" t="str">
        <f t="shared" si="7"/>
        <v>-4.125 ***
(0.161)</v>
      </c>
      <c r="E44" t="str">
        <f t="shared" si="8"/>
        <v>-4.252 ***
(0.172)</v>
      </c>
      <c r="F44" t="str">
        <f t="shared" si="0"/>
        <v>-3.979 ***
(0.161)</v>
      </c>
      <c r="G44" t="str">
        <f t="shared" si="1"/>
        <v>-4.123 ***
(0.187)</v>
      </c>
      <c r="H44" t="str">
        <f t="shared" si="2"/>
        <v>-4.039 ***
(0.194)</v>
      </c>
      <c r="I44" t="str">
        <f t="shared" si="3"/>
        <v>-4.232 ***
(0.234)</v>
      </c>
      <c r="J44" t="str">
        <f t="shared" si="4"/>
        <v>-3.88 ***
(0.238)</v>
      </c>
      <c r="K44" t="str">
        <f t="shared" si="5"/>
        <v>-4.259 ***
(0.275)</v>
      </c>
    </row>
    <row r="45" spans="1:27" x14ac:dyDescent="0.25">
      <c r="A45" t="s">
        <v>276</v>
      </c>
      <c r="B45" t="s">
        <v>42</v>
      </c>
      <c r="C45" s="55" t="str">
        <f t="shared" si="6"/>
        <v>-5.917 ***
(0.69)</v>
      </c>
      <c r="D45" s="55" t="str">
        <f t="shared" si="7"/>
        <v>-3.696 ***
(0.359)</v>
      </c>
      <c r="E45" s="55" t="str">
        <f t="shared" si="8"/>
        <v>-3.515 ***
(0.441)</v>
      </c>
      <c r="F45" s="55" t="str">
        <f t="shared" si="0"/>
        <v>-2.315 ***
(0.359)</v>
      </c>
      <c r="G45" s="55" t="str">
        <f t="shared" si="1"/>
        <v>-1.632 ***
(0.313)</v>
      </c>
      <c r="H45" s="55" t="str">
        <f t="shared" si="2"/>
        <v>-1.083 ***
(0.294)</v>
      </c>
      <c r="I45" s="55" t="str">
        <f t="shared" si="3"/>
        <v>-0.421 
(0.253)</v>
      </c>
      <c r="J45" s="55" t="str">
        <f t="shared" si="4"/>
        <v>-0.346 
(0.268)</v>
      </c>
      <c r="K45" s="55" t="str">
        <f t="shared" si="5"/>
        <v>-0.323 
(0.268)</v>
      </c>
    </row>
    <row r="46" spans="1:27" x14ac:dyDescent="0.25">
      <c r="B46" t="s">
        <v>44</v>
      </c>
      <c r="C46" t="str">
        <f t="shared" si="6"/>
        <v>-6.309 ***
(0.42)</v>
      </c>
      <c r="D46" t="str">
        <f t="shared" si="7"/>
        <v>4.944 ***
(0.2)</v>
      </c>
      <c r="E46" t="str">
        <f t="shared" si="8"/>
        <v>-4.964 ***
(0.276)</v>
      </c>
      <c r="F46" t="str">
        <f t="shared" si="0"/>
        <v>-3.733 ***
(0.2)</v>
      </c>
      <c r="G46" t="str">
        <f t="shared" si="1"/>
        <v>-3.492 ***
(0.18)</v>
      </c>
      <c r="H46" t="str">
        <f t="shared" si="2"/>
        <v>3.141 ***
(0.169)</v>
      </c>
      <c r="I46" t="str">
        <f t="shared" si="3"/>
        <v>2.647 ***
(0.147)</v>
      </c>
      <c r="J46" t="str">
        <f t="shared" si="4"/>
        <v>2.531 ***
(0.147)</v>
      </c>
      <c r="K46" t="str">
        <f t="shared" si="5"/>
        <v>-2.496 ***
(0.141)</v>
      </c>
    </row>
    <row r="47" spans="1:27" x14ac:dyDescent="0.25">
      <c r="A47" t="s">
        <v>46</v>
      </c>
      <c r="B47" t="s">
        <v>47</v>
      </c>
      <c r="C47" t="str">
        <f t="shared" si="6"/>
        <v>-0.367 ***
(0.053)</v>
      </c>
      <c r="D47" t="str">
        <f t="shared" si="7"/>
        <v>-0.354 ***
(0.054)</v>
      </c>
      <c r="E47" t="str">
        <f t="shared" si="8"/>
        <v>-0.388 ***
(0.055)</v>
      </c>
      <c r="F47" t="str">
        <f t="shared" si="0"/>
        <v>-0.384 ***
(0.054)</v>
      </c>
      <c r="G47" t="str">
        <f t="shared" si="1"/>
        <v>-0.455 ***
(0.06)</v>
      </c>
      <c r="H47" t="str">
        <f t="shared" si="2"/>
        <v>-0.459 ***
(0.067)</v>
      </c>
      <c r="I47" t="str">
        <f t="shared" si="3"/>
        <v>-0.512 ***
(0.074)</v>
      </c>
      <c r="J47" t="str">
        <f t="shared" si="4"/>
        <v>-0.542 ***
(0.083)</v>
      </c>
      <c r="K47" t="str">
        <f t="shared" si="5"/>
        <v>-0.508 ***
(0.087)</v>
      </c>
    </row>
    <row r="48" spans="1:27" x14ac:dyDescent="0.25">
      <c r="B48" t="s">
        <v>49</v>
      </c>
      <c r="C48" t="str">
        <f t="shared" si="6"/>
        <v>-0.562 ***
(0.096)</v>
      </c>
      <c r="D48" t="str">
        <f t="shared" si="7"/>
        <v>0.546 ***
(0.107)</v>
      </c>
      <c r="E48" t="str">
        <f t="shared" si="8"/>
        <v>-0.59 ***
(0.094)</v>
      </c>
      <c r="F48" t="str">
        <f t="shared" si="0"/>
        <v>-0.418 ***
(0.107)</v>
      </c>
      <c r="G48" t="str">
        <f t="shared" si="1"/>
        <v>-0.506 ***
(0.119)</v>
      </c>
      <c r="H48" t="str">
        <f t="shared" si="2"/>
        <v>-0.582 ***
(0.123)</v>
      </c>
      <c r="I48" t="str">
        <f t="shared" si="3"/>
        <v>0.57 ***
(0.135)</v>
      </c>
      <c r="J48" t="str">
        <f t="shared" si="4"/>
        <v>-0.762 ***
(0.139)</v>
      </c>
      <c r="K48" t="str">
        <f t="shared" si="5"/>
        <v>-0.73 ***
(0.137)</v>
      </c>
    </row>
    <row r="49" spans="1:11" x14ac:dyDescent="0.25">
      <c r="A49" t="s">
        <v>51</v>
      </c>
      <c r="B49" t="s">
        <v>52</v>
      </c>
      <c r="C49" t="str">
        <f t="shared" si="6"/>
        <v>-0.807 ***
(0.059)</v>
      </c>
      <c r="D49" t="str">
        <f t="shared" si="7"/>
        <v>-0.83 ***
(0.062)</v>
      </c>
      <c r="E49" t="str">
        <f t="shared" si="8"/>
        <v>-0.871 ***
(0.062)</v>
      </c>
      <c r="F49" t="str">
        <f t="shared" si="0"/>
        <v>-0.854 ***
(0.062)</v>
      </c>
      <c r="G49" t="str">
        <f t="shared" si="1"/>
        <v>-0.999 ***
(0.073)</v>
      </c>
      <c r="H49" t="str">
        <f t="shared" si="2"/>
        <v>-1.133 ***
(0.077)</v>
      </c>
      <c r="I49" t="str">
        <f t="shared" si="3"/>
        <v>-1.277 ***
(0.092)</v>
      </c>
      <c r="J49" t="str">
        <f t="shared" si="4"/>
        <v>-1.268 ***
(0.102)</v>
      </c>
      <c r="K49" t="str">
        <f t="shared" si="5"/>
        <v>-1.33 ***
(0.103)</v>
      </c>
    </row>
    <row r="50" spans="1:11" x14ac:dyDescent="0.25">
      <c r="B50" t="s">
        <v>54</v>
      </c>
      <c r="C50" t="str">
        <f t="shared" si="6"/>
        <v>-0.862 ***
(0.059)</v>
      </c>
      <c r="D50" t="str">
        <f t="shared" si="7"/>
        <v>-0.768 ***
(0.067)</v>
      </c>
      <c r="E50" t="str">
        <f t="shared" si="8"/>
        <v>-0.828 ***
(0.068)</v>
      </c>
      <c r="F50" t="str">
        <f t="shared" si="0"/>
        <v>-0.903 ***
(0.067)</v>
      </c>
      <c r="G50" t="str">
        <f t="shared" si="1"/>
        <v>-1.076 ***
(0.07)</v>
      </c>
      <c r="H50" t="str">
        <f t="shared" si="2"/>
        <v>-0.975 ***
(0.077)</v>
      </c>
      <c r="I50" t="str">
        <f t="shared" si="3"/>
        <v>-1.106 ***
(0.089)</v>
      </c>
      <c r="J50" t="str">
        <f t="shared" si="4"/>
        <v>-1.297 ***
(0.101)</v>
      </c>
      <c r="K50" t="str">
        <f t="shared" si="5"/>
        <v>-0.924 ***
(0.102)</v>
      </c>
    </row>
    <row r="51" spans="1:11" x14ac:dyDescent="0.25">
      <c r="A51" t="s">
        <v>55</v>
      </c>
      <c r="B51" t="s">
        <v>56</v>
      </c>
      <c r="C51" t="str">
        <f t="shared" si="6"/>
        <v>-0.565 ***
(0.054)</v>
      </c>
      <c r="D51" t="str">
        <f t="shared" si="7"/>
        <v>-0.553 ***
(0.055)</v>
      </c>
      <c r="E51" t="str">
        <f t="shared" si="8"/>
        <v>-0.563 ***
(0.053)</v>
      </c>
      <c r="F51" t="str">
        <f t="shared" si="0"/>
        <v>-0.603 ***
(0.055)</v>
      </c>
      <c r="G51" t="str">
        <f t="shared" si="1"/>
        <v>-0.697 ***
(0.064)</v>
      </c>
      <c r="H51" t="str">
        <f t="shared" si="2"/>
        <v>-0.675 ***
(0.065)</v>
      </c>
      <c r="I51" t="str">
        <f t="shared" si="3"/>
        <v>-0.801 ***
(0.076)</v>
      </c>
      <c r="J51" t="str">
        <f t="shared" si="4"/>
        <v>-0.829 ***
(0.086)</v>
      </c>
      <c r="K51" t="str">
        <f t="shared" si="5"/>
        <v>-0.824 ***
(0.086)</v>
      </c>
    </row>
    <row r="52" spans="1:11" x14ac:dyDescent="0.25">
      <c r="B52" t="s">
        <v>57</v>
      </c>
      <c r="C52" t="str">
        <f t="shared" si="6"/>
        <v>0.516 ***
(0.109)</v>
      </c>
      <c r="D52" t="str">
        <f t="shared" si="7"/>
        <v>0.52 ***
(0.12)</v>
      </c>
      <c r="E52" t="str">
        <f t="shared" si="8"/>
        <v>0.375 ***
(0.127)</v>
      </c>
      <c r="F52" t="str">
        <f t="shared" si="0"/>
        <v>0.446 ***
(0.12)</v>
      </c>
      <c r="G52" t="str">
        <f t="shared" si="1"/>
        <v>0.638 ***
(0.113)</v>
      </c>
      <c r="H52" t="str">
        <f t="shared" si="2"/>
        <v>0.425 ***
(0.142)</v>
      </c>
      <c r="I52" t="str">
        <f t="shared" si="3"/>
        <v>0.541 ***
(0.156)</v>
      </c>
      <c r="J52" t="str">
        <f t="shared" si="4"/>
        <v>-0.763 ***
(0.141)</v>
      </c>
      <c r="K52" t="str">
        <f t="shared" si="5"/>
        <v>0.342 
(0.21)</v>
      </c>
    </row>
    <row r="53" spans="1:11" x14ac:dyDescent="0.25">
      <c r="A53" t="s">
        <v>58</v>
      </c>
      <c r="B53" t="s">
        <v>59</v>
      </c>
      <c r="C53" t="str">
        <f t="shared" si="6"/>
        <v>-0.462 ***
(0.043)</v>
      </c>
      <c r="D53" t="str">
        <f t="shared" si="7"/>
        <v>-0.461 ***
(0.043)</v>
      </c>
      <c r="E53" t="str">
        <f t="shared" si="8"/>
        <v>-0.483 ***
(0.043)</v>
      </c>
      <c r="F53" t="str">
        <f t="shared" si="0"/>
        <v>-0.481 ***
(0.043)</v>
      </c>
      <c r="G53" t="str">
        <f t="shared" si="1"/>
        <v>-0.541 ***
(0.05)</v>
      </c>
      <c r="H53" t="str">
        <f t="shared" si="2"/>
        <v>-0.558 ***
(0.055)</v>
      </c>
      <c r="I53" t="str">
        <f t="shared" si="3"/>
        <v>-0.611 ***
(0.06)</v>
      </c>
      <c r="J53" t="str">
        <f t="shared" si="4"/>
        <v>-0.626 ***
(0.067)</v>
      </c>
      <c r="K53" t="str">
        <f t="shared" si="5"/>
        <v>-0.626 ***
(0.07)</v>
      </c>
    </row>
    <row r="54" spans="1:11" x14ac:dyDescent="0.25">
      <c r="B54" t="s">
        <v>60</v>
      </c>
      <c r="C54" t="str">
        <f t="shared" si="6"/>
        <v>0.627 ***
(0.066)</v>
      </c>
      <c r="D54" t="str">
        <f t="shared" si="7"/>
        <v>0.672 ***
(0.066)</v>
      </c>
      <c r="E54" t="str">
        <f t="shared" si="8"/>
        <v>0.603 ***
(0.069)</v>
      </c>
      <c r="F54" t="str">
        <f t="shared" si="0"/>
        <v>0.638 ***
(0.066)</v>
      </c>
      <c r="G54" t="str">
        <f t="shared" si="1"/>
        <v>0.771 ***
(0.072)</v>
      </c>
      <c r="H54" t="str">
        <f t="shared" si="2"/>
        <v>0.835 ***
(0.077)</v>
      </c>
      <c r="I54" t="str">
        <f t="shared" si="3"/>
        <v>0.794 ***
(0.09)</v>
      </c>
      <c r="J54" t="str">
        <f t="shared" si="4"/>
        <v>0.831 ***
(0.093)</v>
      </c>
      <c r="K54" t="str">
        <f t="shared" si="5"/>
        <v>0.844 ***
(0.1)</v>
      </c>
    </row>
    <row r="55" spans="1:11" x14ac:dyDescent="0.25">
      <c r="A55" t="s">
        <v>61</v>
      </c>
      <c r="B55" t="s">
        <v>62</v>
      </c>
      <c r="C55" t="str">
        <f t="shared" si="6"/>
        <v>-0.139 ***
(0.04)</v>
      </c>
      <c r="D55" t="str">
        <f t="shared" si="7"/>
        <v>-0.124 ***
(0.041)</v>
      </c>
      <c r="E55" t="str">
        <f t="shared" si="8"/>
        <v>-0.138 ***
(0.039)</v>
      </c>
      <c r="F55" t="str">
        <f t="shared" si="0"/>
        <v>-0.149 ***
(0.041)</v>
      </c>
      <c r="G55" t="str">
        <f t="shared" si="1"/>
        <v>-0.204 ***
(0.046)</v>
      </c>
      <c r="H55" t="str">
        <f t="shared" si="2"/>
        <v>-0.21 ***
(0.049)</v>
      </c>
      <c r="I55" t="str">
        <f t="shared" si="3"/>
        <v>-0.275 ***
(0.058)</v>
      </c>
      <c r="J55" t="str">
        <f t="shared" si="4"/>
        <v>-0.267 ***
(0.064)</v>
      </c>
      <c r="K55" t="str">
        <f t="shared" si="5"/>
        <v>-0.22 ***
(0.065)</v>
      </c>
    </row>
    <row r="56" spans="1:11" x14ac:dyDescent="0.25">
      <c r="B56" t="s">
        <v>63</v>
      </c>
      <c r="C56" t="str">
        <f t="shared" si="6"/>
        <v>-0.477 ***
(0.07)</v>
      </c>
      <c r="D56" t="str">
        <f t="shared" si="7"/>
        <v>-0.463 ***
(0.077)</v>
      </c>
      <c r="E56" t="str">
        <f t="shared" si="8"/>
        <v>-0.322 ***
(0.094)</v>
      </c>
      <c r="F56" t="str">
        <f t="shared" si="0"/>
        <v>-0.449 ***
(0.077)</v>
      </c>
      <c r="G56" t="str">
        <f t="shared" si="1"/>
        <v>-0.372 ***
(0.091)</v>
      </c>
      <c r="H56" t="str">
        <f t="shared" si="2"/>
        <v>-0.397 ***
(0.097)</v>
      </c>
      <c r="I56" t="str">
        <f t="shared" si="3"/>
        <v>0.579 ***
(0.101)</v>
      </c>
      <c r="J56" t="str">
        <f t="shared" si="4"/>
        <v>-0.567 ***
(0.102)</v>
      </c>
      <c r="K56" t="str">
        <f t="shared" si="5"/>
        <v>-0.421 ***
(0.136)</v>
      </c>
    </row>
    <row r="57" spans="1:11" x14ac:dyDescent="0.25">
      <c r="A57" t="s">
        <v>64</v>
      </c>
      <c r="B57" t="s">
        <v>265</v>
      </c>
      <c r="C57" t="str">
        <f t="shared" si="6"/>
        <v>0.189 ***
(0.04)</v>
      </c>
      <c r="D57" t="str">
        <f t="shared" si="7"/>
        <v>0.17 ***
(0.042)</v>
      </c>
      <c r="E57" t="str">
        <f t="shared" si="8"/>
        <v>0.175 ***
(0.041)</v>
      </c>
      <c r="F57" t="str">
        <f t="shared" si="0"/>
        <v>0.196 ***
(0.042)</v>
      </c>
      <c r="G57" t="str">
        <f t="shared" si="1"/>
        <v>0.194 ***
(0.047)</v>
      </c>
      <c r="H57" t="str">
        <f t="shared" si="2"/>
        <v>0.183 ***
(0.05)</v>
      </c>
      <c r="I57" t="str">
        <f t="shared" si="3"/>
        <v>0.18 ***
(0.059)</v>
      </c>
      <c r="J57" t="str">
        <f t="shared" si="4"/>
        <v>0.235 ***
(0.064)</v>
      </c>
      <c r="K57" t="str">
        <f t="shared" si="5"/>
        <v>0.237 ***
(0.067)</v>
      </c>
    </row>
    <row r="58" spans="1:11" x14ac:dyDescent="0.25">
      <c r="B58" t="s">
        <v>266</v>
      </c>
      <c r="C58" t="str">
        <f t="shared" si="6"/>
        <v>0.737 ***
(0.058)</v>
      </c>
      <c r="D58" t="str">
        <f t="shared" si="7"/>
        <v>0.692 ***
(0.061)</v>
      </c>
      <c r="E58" t="str">
        <f t="shared" si="8"/>
        <v>0.7 ***
(0.062)</v>
      </c>
      <c r="F58" t="str">
        <f t="shared" si="0"/>
        <v>0.749 ***
(0.061)</v>
      </c>
      <c r="G58" t="str">
        <f t="shared" si="1"/>
        <v>0.825 ***
(0.067)</v>
      </c>
      <c r="H58" t="str">
        <f t="shared" si="2"/>
        <v>0.85 ***
(0.074)</v>
      </c>
      <c r="I58" t="str">
        <f t="shared" si="3"/>
        <v>-0.969 ***
(0.08)</v>
      </c>
      <c r="J58" t="str">
        <f t="shared" si="4"/>
        <v>0.968 ***
(0.092)</v>
      </c>
      <c r="K58" t="str">
        <f t="shared" si="5"/>
        <v>0.877 ***
(0.095)</v>
      </c>
    </row>
    <row r="59" spans="1:11" x14ac:dyDescent="0.25">
      <c r="A59" t="s">
        <v>67</v>
      </c>
      <c r="B59" t="s">
        <v>267</v>
      </c>
      <c r="C59" t="str">
        <f t="shared" si="6"/>
        <v>0.238 ***
(0.041)</v>
      </c>
      <c r="D59" t="str">
        <f t="shared" si="7"/>
        <v>0.233 ***
(0.042)</v>
      </c>
      <c r="E59" t="str">
        <f t="shared" si="8"/>
        <v>0.228 ***
(0.043)</v>
      </c>
      <c r="F59" t="str">
        <f t="shared" si="0"/>
        <v>0.248 ***
(0.042)</v>
      </c>
      <c r="G59" t="str">
        <f t="shared" si="1"/>
        <v>0.259 ***
(0.049)</v>
      </c>
      <c r="H59" t="str">
        <f t="shared" si="2"/>
        <v>0.257 ***
(0.053)</v>
      </c>
      <c r="I59" t="str">
        <f t="shared" si="3"/>
        <v>0.238 ***
(0.06)</v>
      </c>
      <c r="J59" t="str">
        <f t="shared" si="4"/>
        <v>0.238 ***
(0.066)</v>
      </c>
      <c r="K59" t="str">
        <f t="shared" si="5"/>
        <v>0.274 ***
(0.07)</v>
      </c>
    </row>
    <row r="60" spans="1:11" x14ac:dyDescent="0.25">
      <c r="B60" t="s">
        <v>268</v>
      </c>
      <c r="C60" t="str">
        <f t="shared" si="6"/>
        <v>-0.988 ***
(0.051)</v>
      </c>
      <c r="D60" t="str">
        <f t="shared" si="7"/>
        <v>-0.973 ***
(0.052)</v>
      </c>
      <c r="E60" t="str">
        <f t="shared" si="8"/>
        <v>-1.021 ***
(0.052)</v>
      </c>
      <c r="F60" t="str">
        <f t="shared" si="0"/>
        <v>-1.005 ***
(0.052)</v>
      </c>
      <c r="G60" t="str">
        <f t="shared" si="1"/>
        <v>-1.119 ***
(0.06)</v>
      </c>
      <c r="H60" t="str">
        <f t="shared" si="2"/>
        <v>-1.152 ***
(0.065)</v>
      </c>
      <c r="I60" t="str">
        <f t="shared" si="3"/>
        <v>-1.241 ***
(0.076)</v>
      </c>
      <c r="J60" t="str">
        <f t="shared" si="4"/>
        <v>-1.29 ***
(0.085)</v>
      </c>
      <c r="K60" t="str">
        <f t="shared" si="5"/>
        <v>-1.281 ***
(0.09)</v>
      </c>
    </row>
    <row r="61" spans="1:11" x14ac:dyDescent="0.25">
      <c r="A61" t="s">
        <v>70</v>
      </c>
      <c r="B61" t="s">
        <v>71</v>
      </c>
      <c r="C61" t="str">
        <f t="shared" si="6"/>
        <v>0.92 ***
(0.039)</v>
      </c>
      <c r="D61" t="str">
        <f t="shared" si="7"/>
        <v>0.943 ***
(0.041)</v>
      </c>
      <c r="E61" t="str">
        <f t="shared" si="8"/>
        <v>0.93 ***
(0.04)</v>
      </c>
      <c r="F61" t="str">
        <f t="shared" si="0"/>
        <v>0.956 ***
(0.041)</v>
      </c>
      <c r="G61" t="str">
        <f t="shared" si="1"/>
        <v>0.901 ***
(0.043)</v>
      </c>
      <c r="H61" t="str">
        <f t="shared" si="2"/>
        <v>0.911 ***
(0.046)</v>
      </c>
      <c r="I61" t="str">
        <f t="shared" si="3"/>
        <v>0.861 ***
(0.047)</v>
      </c>
      <c r="J61" t="str">
        <f t="shared" si="4"/>
        <v>0.838 ***
(0.05)</v>
      </c>
      <c r="K61" t="str">
        <f t="shared" si="5"/>
        <v>0.841 ***
(0.053)</v>
      </c>
    </row>
    <row r="62" spans="1:11" x14ac:dyDescent="0.25">
      <c r="A62" t="s">
        <v>72</v>
      </c>
      <c r="B62" t="s">
        <v>73</v>
      </c>
      <c r="C62" t="str">
        <f t="shared" si="6"/>
        <v>0.943 ***
(0.04)</v>
      </c>
      <c r="D62" t="str">
        <f t="shared" si="7"/>
        <v>0.948 ***
(0.044)</v>
      </c>
      <c r="E62" t="str">
        <f t="shared" si="8"/>
        <v>0.944 ***
(0.041)</v>
      </c>
      <c r="F62" t="str">
        <f t="shared" si="0"/>
        <v>0.988 ***
(0.044)</v>
      </c>
      <c r="G62" t="str">
        <f t="shared" si="1"/>
        <v>0.978 ***
(0.049)</v>
      </c>
      <c r="H62" t="str">
        <f t="shared" si="2"/>
        <v>0.98 ***
(0.052)</v>
      </c>
      <c r="I62" t="str">
        <f t="shared" si="3"/>
        <v>0.903 ***
(0.053)</v>
      </c>
      <c r="J62" t="str">
        <f t="shared" si="4"/>
        <v>0.929 ***
(0.059)</v>
      </c>
      <c r="K62" t="str">
        <f t="shared" si="5"/>
        <v>0.902 ***
(0.06)</v>
      </c>
    </row>
    <row r="63" spans="1:11" x14ac:dyDescent="0.25">
      <c r="A63" t="s">
        <v>269</v>
      </c>
      <c r="C63">
        <f>ROUND(C27,3)</f>
        <v>0.45200000000000001</v>
      </c>
      <c r="D63">
        <f>ROUND(F27,3)</f>
        <v>0.45</v>
      </c>
      <c r="E63">
        <f>ROUND(I27,3)</f>
        <v>0.45400000000000001</v>
      </c>
      <c r="F63">
        <f>ROUND(L27,3)</f>
        <v>0.45</v>
      </c>
      <c r="G63">
        <f>ROUND(O27,3)</f>
        <v>0.443</v>
      </c>
      <c r="H63">
        <f>ROUND(R27,3)</f>
        <v>0.434</v>
      </c>
      <c r="I63">
        <f>ROUND(U27,3)</f>
        <v>0.42799999999999999</v>
      </c>
      <c r="J63">
        <f>ROUND(X27,3)</f>
        <v>0.42</v>
      </c>
      <c r="K63">
        <f>ROUND(AA27,3)</f>
        <v>0.42</v>
      </c>
    </row>
  </sheetData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ed4d19-7dfa-4218-b0c9-321a76363151">
      <Terms xmlns="http://schemas.microsoft.com/office/infopath/2007/PartnerControls"/>
    </lcf76f155ced4ddcb4097134ff3c332f>
    <TaxCatchAll xmlns="f52a8275-2cbd-4186-978c-53e0366573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EAE559E09D4A429EBD0F39DC21BBA6" ma:contentTypeVersion="17" ma:contentTypeDescription="Crear nuevo documento." ma:contentTypeScope="" ma:versionID="1af2fb9fc54a5c91fb7e1af47b87503a">
  <xsd:schema xmlns:xsd="http://www.w3.org/2001/XMLSchema" xmlns:xs="http://www.w3.org/2001/XMLSchema" xmlns:p="http://schemas.microsoft.com/office/2006/metadata/properties" xmlns:ns2="57ed4d19-7dfa-4218-b0c9-321a76363151" xmlns:ns3="f52a8275-2cbd-4186-978c-53e036657375" targetNamespace="http://schemas.microsoft.com/office/2006/metadata/properties" ma:root="true" ma:fieldsID="1af883276bc8df500be0fc59e8fb9344" ns2:_="" ns3:_="">
    <xsd:import namespace="57ed4d19-7dfa-4218-b0c9-321a76363151"/>
    <xsd:import namespace="f52a8275-2cbd-4186-978c-53e036657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d4d19-7dfa-4218-b0c9-321a76363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91714cc3-0b58-4b86-a2d5-5223db0584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a8275-2cbd-4186-978c-53e03665737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7ac52e8-abd0-4b42-9211-4af33f9c951c}" ma:internalName="TaxCatchAll" ma:showField="CatchAllData" ma:web="f52a8275-2cbd-4186-978c-53e036657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E85CAA-214C-4A93-81C6-DC9EF0A0CEA5}">
  <ds:schemaRefs>
    <ds:schemaRef ds:uri="http://schemas.microsoft.com/office/2006/metadata/properties"/>
    <ds:schemaRef ds:uri="http://schemas.microsoft.com/office/infopath/2007/PartnerControls"/>
    <ds:schemaRef ds:uri="57ed4d19-7dfa-4218-b0c9-321a76363151"/>
    <ds:schemaRef ds:uri="f52a8275-2cbd-4186-978c-53e036657375"/>
  </ds:schemaRefs>
</ds:datastoreItem>
</file>

<file path=customXml/itemProps2.xml><?xml version="1.0" encoding="utf-8"?>
<ds:datastoreItem xmlns:ds="http://schemas.openxmlformats.org/officeDocument/2006/customXml" ds:itemID="{F3AF64D9-4533-4B94-B017-1DE81746EA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EA8933-6F5C-4438-8751-1038EFECB6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ed4d19-7dfa-4218-b0c9-321a76363151"/>
    <ds:schemaRef ds:uri="f52a8275-2cbd-4186-978c-53e036657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e525757-89ba-4d30-a2f7-49796ef8c604}" enabled="0" method="" siteId="{ae525757-89ba-4d30-a2f7-49796ef8c6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Indice Tablas</vt:lpstr>
      <vt:lpstr>Tabla 1</vt:lpstr>
      <vt:lpstr>Tabla 2</vt:lpstr>
      <vt:lpstr>Tabla 3</vt:lpstr>
      <vt:lpstr>Tabla 4</vt:lpstr>
      <vt:lpstr>Tabla 5</vt:lpstr>
      <vt:lpstr>Tabla B8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rosme</dc:creator>
  <cp:keywords/>
  <dc:description/>
  <cp:lastModifiedBy>Rosmery Vanessa Barroso Parra</cp:lastModifiedBy>
  <cp:revision/>
  <dcterms:created xsi:type="dcterms:W3CDTF">2025-04-15T18:27:29Z</dcterms:created>
  <dcterms:modified xsi:type="dcterms:W3CDTF">2026-05-20T13:23:35Z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0x01010027EAE559E09D4A429EBD0F39DC21BBA6</vt:lpwstr>
  </property>
  <property fmtid="{D5CDD505-2E9C-101B-9397-08002B2CF9AE}" pid="3" name="MediaServiceImageTags">
    <vt:lpwstr/>
  </property>
</Properties>
</file>