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edu.sharepoint.com/sites/ControlTabacoFacultadEconomica/Documentos compartidos/DCE e-cig/Resultados finales/"/>
    </mc:Choice>
  </mc:AlternateContent>
  <xr:revisionPtr revIDLastSave="291" documentId="8_{5C029734-28DD-40E9-BEFF-BC51447032B3}" xr6:coauthVersionLast="47" xr6:coauthVersionMax="47" xr10:uidLastSave="{E317CAC0-F49F-4747-813C-0F6D2D13E5BF}"/>
  <bookViews>
    <workbookView xWindow="-120" yWindow="-120" windowWidth="20730" windowHeight="11040" activeTab="6" xr2:uid="{00000000-000D-0000-FFFF-FFFF00000000}"/>
  </bookViews>
  <sheets>
    <sheet name="Indice Tablas" sheetId="8" r:id="rId1"/>
    <sheet name="Tabla 1" sheetId="2" r:id="rId2"/>
    <sheet name="Tabla 2" sheetId="9" r:id="rId3"/>
    <sheet name="Tabla 3" sheetId="3" r:id="rId4"/>
    <sheet name="Tabla 4" sheetId="1" r:id="rId5"/>
    <sheet name="Tabla 5" sheetId="6" r:id="rId6"/>
    <sheet name="Tabla 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3" i="7" l="1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32" i="7"/>
  <c r="I30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32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4" i="7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32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4" i="6"/>
  <c r="M75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59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6" i="1"/>
  <c r="M77" i="1"/>
  <c r="M78" i="1"/>
  <c r="M79" i="1"/>
  <c r="M80" i="1"/>
  <c r="M81" i="1"/>
  <c r="M82" i="1"/>
  <c r="M83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32" i="1"/>
  <c r="U18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9" i="1"/>
  <c r="U20" i="1"/>
  <c r="U21" i="1"/>
  <c r="U22" i="1"/>
  <c r="U23" i="1"/>
  <c r="U24" i="1"/>
  <c r="U25" i="1"/>
  <c r="U26" i="1"/>
  <c r="U27" i="1"/>
  <c r="U28" i="1"/>
  <c r="U4" i="1"/>
  <c r="Q26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7" i="1"/>
  <c r="Q28" i="1"/>
  <c r="Q4" i="1"/>
  <c r="I27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8" i="1"/>
  <c r="I4" i="1"/>
  <c r="P72" i="7" l="1"/>
  <c r="P71" i="7"/>
  <c r="P70" i="7"/>
  <c r="P69" i="7"/>
  <c r="P68" i="7"/>
  <c r="P67" i="7"/>
  <c r="P66" i="7"/>
  <c r="P65" i="7"/>
  <c r="P64" i="7"/>
  <c r="P63" i="7"/>
  <c r="AF63" i="7" s="1"/>
  <c r="AF64" i="7" s="1"/>
  <c r="AF65" i="7" s="1"/>
  <c r="AF66" i="7" s="1"/>
  <c r="AF67" i="7" s="1"/>
  <c r="AF68" i="7" s="1"/>
  <c r="AF69" i="7" s="1"/>
  <c r="AF70" i="7" s="1"/>
  <c r="AF71" i="7" s="1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AB63" i="7"/>
  <c r="AB64" i="7" s="1"/>
  <c r="AB65" i="7" s="1"/>
  <c r="AB66" i="7" s="1"/>
  <c r="AB67" i="7" s="1"/>
  <c r="AB68" i="7" s="1"/>
  <c r="AB69" i="7" s="1"/>
  <c r="AB70" i="7" s="1"/>
  <c r="AB71" i="7" s="1"/>
  <c r="J63" i="7"/>
  <c r="I63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G64" i="7"/>
  <c r="G63" i="7"/>
  <c r="N75" i="7"/>
  <c r="M75" i="7"/>
  <c r="K75" i="7"/>
  <c r="J75" i="7"/>
  <c r="I75" i="7"/>
  <c r="G75" i="7"/>
  <c r="N74" i="7"/>
  <c r="M74" i="7"/>
  <c r="K74" i="7"/>
  <c r="J74" i="7"/>
  <c r="I74" i="7"/>
  <c r="G74" i="7"/>
  <c r="N73" i="7"/>
  <c r="M73" i="7"/>
  <c r="K73" i="7"/>
  <c r="J73" i="7"/>
  <c r="I73" i="7"/>
  <c r="G73" i="7"/>
  <c r="R72" i="7"/>
  <c r="Q72" i="7"/>
  <c r="O72" i="7"/>
  <c r="N72" i="7"/>
  <c r="M72" i="7"/>
  <c r="K72" i="7"/>
  <c r="J72" i="7"/>
  <c r="I72" i="7"/>
  <c r="G72" i="7"/>
  <c r="R71" i="7"/>
  <c r="Q71" i="7"/>
  <c r="O71" i="7"/>
  <c r="N71" i="7"/>
  <c r="M71" i="7"/>
  <c r="K71" i="7"/>
  <c r="J71" i="7"/>
  <c r="I71" i="7"/>
  <c r="G71" i="7"/>
  <c r="R70" i="7"/>
  <c r="Q70" i="7"/>
  <c r="O70" i="7"/>
  <c r="N70" i="7"/>
  <c r="M70" i="7"/>
  <c r="K70" i="7"/>
  <c r="J70" i="7"/>
  <c r="I70" i="7"/>
  <c r="G70" i="7"/>
  <c r="R69" i="7"/>
  <c r="Q69" i="7"/>
  <c r="O69" i="7"/>
  <c r="N69" i="7"/>
  <c r="M69" i="7"/>
  <c r="K69" i="7"/>
  <c r="J69" i="7"/>
  <c r="I69" i="7"/>
  <c r="G69" i="7"/>
  <c r="R68" i="7"/>
  <c r="Q68" i="7"/>
  <c r="O68" i="7"/>
  <c r="N68" i="7"/>
  <c r="M68" i="7"/>
  <c r="K68" i="7"/>
  <c r="J68" i="7"/>
  <c r="I68" i="7"/>
  <c r="G68" i="7"/>
  <c r="R67" i="7"/>
  <c r="Q67" i="7"/>
  <c r="O67" i="7"/>
  <c r="N67" i="7"/>
  <c r="M67" i="7"/>
  <c r="K67" i="7"/>
  <c r="J67" i="7"/>
  <c r="I67" i="7"/>
  <c r="G67" i="7"/>
  <c r="R66" i="7"/>
  <c r="Q66" i="7"/>
  <c r="O66" i="7"/>
  <c r="N66" i="7"/>
  <c r="M66" i="7"/>
  <c r="K66" i="7"/>
  <c r="J66" i="7"/>
  <c r="I66" i="7"/>
  <c r="G66" i="7"/>
  <c r="R65" i="7"/>
  <c r="Q65" i="7"/>
  <c r="O65" i="7"/>
  <c r="N65" i="7"/>
  <c r="M65" i="7"/>
  <c r="K65" i="7"/>
  <c r="J65" i="7"/>
  <c r="I65" i="7"/>
  <c r="G65" i="7"/>
  <c r="R64" i="7"/>
  <c r="Q64" i="7"/>
  <c r="O64" i="7"/>
  <c r="N64" i="7"/>
  <c r="M64" i="7"/>
  <c r="K64" i="7"/>
  <c r="J64" i="7"/>
  <c r="I64" i="7"/>
  <c r="X63" i="7"/>
  <c r="X64" i="7" s="1"/>
  <c r="X65" i="7" s="1"/>
  <c r="X66" i="7" s="1"/>
  <c r="X67" i="7" s="1"/>
  <c r="X68" i="7" s="1"/>
  <c r="X69" i="7" s="1"/>
  <c r="X70" i="7" s="1"/>
  <c r="X71" i="7" s="1"/>
  <c r="R63" i="7"/>
  <c r="AH63" i="7" s="1"/>
  <c r="AH64" i="7" s="1"/>
  <c r="AH65" i="7" s="1"/>
  <c r="AH66" i="7" s="1"/>
  <c r="AH67" i="7" s="1"/>
  <c r="AH68" i="7" s="1"/>
  <c r="AH69" i="7" s="1"/>
  <c r="AH70" i="7" s="1"/>
  <c r="AH71" i="7" s="1"/>
  <c r="Q63" i="7"/>
  <c r="AG63" i="7" s="1"/>
  <c r="AG64" i="7" s="1"/>
  <c r="AG65" i="7" s="1"/>
  <c r="AG66" i="7" s="1"/>
  <c r="AG67" i="7" s="1"/>
  <c r="AG68" i="7" s="1"/>
  <c r="AG69" i="7" s="1"/>
  <c r="AG70" i="7" s="1"/>
  <c r="AG71" i="7" s="1"/>
  <c r="O63" i="7"/>
  <c r="AE63" i="7" s="1"/>
  <c r="AE64" i="7" s="1"/>
  <c r="AE65" i="7" s="1"/>
  <c r="AE66" i="7" s="1"/>
  <c r="AE67" i="7" s="1"/>
  <c r="AE68" i="7" s="1"/>
  <c r="AE69" i="7" s="1"/>
  <c r="AE70" i="7" s="1"/>
  <c r="AE71" i="7" s="1"/>
  <c r="N63" i="7"/>
  <c r="AD63" i="7" s="1"/>
  <c r="AD64" i="7" s="1"/>
  <c r="AD65" i="7" s="1"/>
  <c r="AD66" i="7" s="1"/>
  <c r="AD67" i="7" s="1"/>
  <c r="AD68" i="7" s="1"/>
  <c r="AD69" i="7" s="1"/>
  <c r="AD70" i="7" s="1"/>
  <c r="AD71" i="7" s="1"/>
  <c r="M63" i="7"/>
  <c r="AC63" i="7" s="1"/>
  <c r="AC64" i="7" s="1"/>
  <c r="AC65" i="7" s="1"/>
  <c r="AC66" i="7" s="1"/>
  <c r="AC67" i="7" s="1"/>
  <c r="AC68" i="7" s="1"/>
  <c r="AC69" i="7" s="1"/>
  <c r="AC70" i="7" s="1"/>
  <c r="AC71" i="7" s="1"/>
  <c r="K63" i="7"/>
  <c r="AA63" i="7" s="1"/>
  <c r="AA64" i="7" s="1"/>
  <c r="AA65" i="7" s="1"/>
  <c r="AA66" i="7" s="1"/>
  <c r="AA67" i="7" s="1"/>
  <c r="AA68" i="7" s="1"/>
  <c r="AA69" i="7" s="1"/>
  <c r="AA70" i="7" s="1"/>
  <c r="AA71" i="7" s="1"/>
  <c r="Z63" i="7"/>
  <c r="Z64" i="7" s="1"/>
  <c r="Z65" i="7" s="1"/>
  <c r="Z66" i="7" s="1"/>
  <c r="Z67" i="7" s="1"/>
  <c r="Z68" i="7" s="1"/>
  <c r="Z69" i="7" s="1"/>
  <c r="Z70" i="7" s="1"/>
  <c r="Z71" i="7" s="1"/>
  <c r="Y63" i="7"/>
  <c r="Y64" i="7" s="1"/>
  <c r="Y65" i="7" s="1"/>
  <c r="Y66" i="7" s="1"/>
  <c r="Y67" i="7" s="1"/>
  <c r="Y68" i="7" s="1"/>
  <c r="Y69" i="7" s="1"/>
  <c r="Y70" i="7" s="1"/>
  <c r="Y71" i="7" s="1"/>
  <c r="W63" i="7"/>
  <c r="W64" i="7" s="1"/>
  <c r="W65" i="7" s="1"/>
  <c r="W66" i="7" s="1"/>
  <c r="W67" i="7" s="1"/>
  <c r="W68" i="7" s="1"/>
  <c r="W69" i="7" s="1"/>
  <c r="W70" i="7" s="1"/>
  <c r="W71" i="7" s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AB108" i="1"/>
  <c r="AB109" i="1" s="1"/>
  <c r="AB110" i="1" s="1"/>
  <c r="AB111" i="1" s="1"/>
  <c r="AB112" i="1" s="1"/>
  <c r="AB113" i="1" s="1"/>
  <c r="AB114" i="1" s="1"/>
  <c r="AB115" i="1" s="1"/>
  <c r="AB116" i="1" s="1"/>
  <c r="H108" i="1"/>
  <c r="X97" i="1"/>
  <c r="Y97" i="1"/>
  <c r="Z97" i="1"/>
  <c r="AA97" i="1"/>
  <c r="AB97" i="1"/>
  <c r="AC97" i="1"/>
  <c r="AD97" i="1"/>
  <c r="AE97" i="1"/>
  <c r="AF97" i="1"/>
  <c r="AG97" i="1"/>
  <c r="AH97" i="1"/>
  <c r="X96" i="1"/>
  <c r="Y96" i="1"/>
  <c r="Z96" i="1"/>
  <c r="AA96" i="1"/>
  <c r="AB96" i="1"/>
  <c r="AC96" i="1"/>
  <c r="AD96" i="1"/>
  <c r="AE96" i="1"/>
  <c r="AF96" i="1"/>
  <c r="AG96" i="1"/>
  <c r="AH96" i="1"/>
  <c r="X95" i="1"/>
  <c r="Y95" i="1"/>
  <c r="Z95" i="1"/>
  <c r="AA95" i="1"/>
  <c r="AB95" i="1"/>
  <c r="AC95" i="1"/>
  <c r="AD95" i="1"/>
  <c r="AE95" i="1"/>
  <c r="AF95" i="1"/>
  <c r="AG95" i="1"/>
  <c r="AH95" i="1"/>
  <c r="X94" i="1"/>
  <c r="Y94" i="1"/>
  <c r="Z94" i="1"/>
  <c r="AA94" i="1"/>
  <c r="AB94" i="1"/>
  <c r="AC94" i="1"/>
  <c r="AD94" i="1"/>
  <c r="AE94" i="1"/>
  <c r="AF94" i="1"/>
  <c r="AG94" i="1"/>
  <c r="AH94" i="1"/>
  <c r="X93" i="1"/>
  <c r="Y93" i="1"/>
  <c r="Z93" i="1"/>
  <c r="AA93" i="1"/>
  <c r="AB93" i="1"/>
  <c r="AC93" i="1"/>
  <c r="AD93" i="1"/>
  <c r="AE93" i="1"/>
  <c r="AF93" i="1"/>
  <c r="AG93" i="1"/>
  <c r="AH93" i="1"/>
  <c r="X92" i="1"/>
  <c r="Y92" i="1"/>
  <c r="Z92" i="1"/>
  <c r="AA92" i="1"/>
  <c r="AB92" i="1"/>
  <c r="AC92" i="1"/>
  <c r="AD92" i="1"/>
  <c r="AE92" i="1"/>
  <c r="AF92" i="1"/>
  <c r="AG92" i="1"/>
  <c r="AH92" i="1"/>
  <c r="X91" i="1"/>
  <c r="Y91" i="1"/>
  <c r="Z91" i="1"/>
  <c r="AA91" i="1"/>
  <c r="AB91" i="1"/>
  <c r="AC91" i="1"/>
  <c r="AD91" i="1"/>
  <c r="AE91" i="1"/>
  <c r="AF91" i="1"/>
  <c r="AG91" i="1"/>
  <c r="AH91" i="1"/>
  <c r="X90" i="1"/>
  <c r="Y90" i="1"/>
  <c r="Z90" i="1"/>
  <c r="AA90" i="1"/>
  <c r="AB90" i="1"/>
  <c r="AC90" i="1"/>
  <c r="AD90" i="1"/>
  <c r="AE90" i="1"/>
  <c r="AF90" i="1"/>
  <c r="AG90" i="1"/>
  <c r="AH90" i="1"/>
  <c r="W91" i="1"/>
  <c r="W92" i="1" s="1"/>
  <c r="W93" i="1" s="1"/>
  <c r="W94" i="1" s="1"/>
  <c r="W95" i="1" s="1"/>
  <c r="W96" i="1" s="1"/>
  <c r="W97" i="1" s="1"/>
  <c r="W90" i="1"/>
  <c r="N42" i="3"/>
  <c r="L42" i="3"/>
  <c r="K42" i="3"/>
  <c r="N94" i="7"/>
  <c r="M94" i="7"/>
  <c r="K94" i="7"/>
  <c r="J94" i="7"/>
  <c r="I94" i="7"/>
  <c r="H94" i="7"/>
  <c r="G94" i="7"/>
  <c r="N93" i="7"/>
  <c r="M93" i="7"/>
  <c r="K93" i="7"/>
  <c r="J93" i="7"/>
  <c r="I93" i="7"/>
  <c r="H93" i="7"/>
  <c r="G93" i="7"/>
  <c r="N92" i="7"/>
  <c r="M92" i="7"/>
  <c r="K92" i="7"/>
  <c r="J92" i="7"/>
  <c r="I92" i="7"/>
  <c r="H92" i="7"/>
  <c r="G92" i="7"/>
  <c r="R91" i="7"/>
  <c r="Q91" i="7"/>
  <c r="P91" i="7"/>
  <c r="O91" i="7"/>
  <c r="N91" i="7"/>
  <c r="M91" i="7"/>
  <c r="K91" i="7"/>
  <c r="J91" i="7"/>
  <c r="I91" i="7"/>
  <c r="H91" i="7"/>
  <c r="G91" i="7"/>
  <c r="R90" i="7"/>
  <c r="Q90" i="7"/>
  <c r="P90" i="7"/>
  <c r="O90" i="7"/>
  <c r="N90" i="7"/>
  <c r="M90" i="7"/>
  <c r="K90" i="7"/>
  <c r="J90" i="7"/>
  <c r="I90" i="7"/>
  <c r="H90" i="7"/>
  <c r="G90" i="7"/>
  <c r="R89" i="7"/>
  <c r="Q89" i="7"/>
  <c r="P89" i="7"/>
  <c r="O89" i="7"/>
  <c r="N89" i="7"/>
  <c r="M89" i="7"/>
  <c r="K89" i="7"/>
  <c r="J89" i="7"/>
  <c r="I89" i="7"/>
  <c r="H89" i="7"/>
  <c r="G89" i="7"/>
  <c r="R88" i="7"/>
  <c r="Q88" i="7"/>
  <c r="P88" i="7"/>
  <c r="O88" i="7"/>
  <c r="N88" i="7"/>
  <c r="M88" i="7"/>
  <c r="K88" i="7"/>
  <c r="J88" i="7"/>
  <c r="I88" i="7"/>
  <c r="H88" i="7"/>
  <c r="G88" i="7"/>
  <c r="R87" i="7"/>
  <c r="Q87" i="7"/>
  <c r="P87" i="7"/>
  <c r="O87" i="7"/>
  <c r="N87" i="7"/>
  <c r="M87" i="7"/>
  <c r="K87" i="7"/>
  <c r="J87" i="7"/>
  <c r="I87" i="7"/>
  <c r="H87" i="7"/>
  <c r="G87" i="7"/>
  <c r="R86" i="7"/>
  <c r="Q86" i="7"/>
  <c r="P86" i="7"/>
  <c r="O86" i="7"/>
  <c r="N86" i="7"/>
  <c r="M86" i="7"/>
  <c r="K86" i="7"/>
  <c r="J86" i="7"/>
  <c r="I86" i="7"/>
  <c r="H86" i="7"/>
  <c r="G86" i="7"/>
  <c r="R85" i="7"/>
  <c r="Q85" i="7"/>
  <c r="P85" i="7"/>
  <c r="O85" i="7"/>
  <c r="N85" i="7"/>
  <c r="M85" i="7"/>
  <c r="K85" i="7"/>
  <c r="J85" i="7"/>
  <c r="I85" i="7"/>
  <c r="H85" i="7"/>
  <c r="G85" i="7"/>
  <c r="R84" i="7"/>
  <c r="Q84" i="7"/>
  <c r="P84" i="7"/>
  <c r="O84" i="7"/>
  <c r="N84" i="7"/>
  <c r="M84" i="7"/>
  <c r="K84" i="7"/>
  <c r="J84" i="7"/>
  <c r="I84" i="7"/>
  <c r="H84" i="7"/>
  <c r="G84" i="7"/>
  <c r="R83" i="7"/>
  <c r="Q83" i="7"/>
  <c r="P83" i="7"/>
  <c r="O83" i="7"/>
  <c r="N83" i="7"/>
  <c r="M83" i="7"/>
  <c r="K83" i="7"/>
  <c r="J83" i="7"/>
  <c r="I83" i="7"/>
  <c r="H83" i="7"/>
  <c r="G83" i="7"/>
  <c r="AB82" i="7"/>
  <c r="AB83" i="7" s="1"/>
  <c r="AB84" i="7" s="1"/>
  <c r="AB85" i="7" s="1"/>
  <c r="AB86" i="7" s="1"/>
  <c r="AB87" i="7" s="1"/>
  <c r="AB88" i="7" s="1"/>
  <c r="AB89" i="7" s="1"/>
  <c r="AB90" i="7" s="1"/>
  <c r="R82" i="7"/>
  <c r="AH82" i="7" s="1"/>
  <c r="AH83" i="7" s="1"/>
  <c r="AH84" i="7" s="1"/>
  <c r="AH85" i="7" s="1"/>
  <c r="AH86" i="7" s="1"/>
  <c r="AH87" i="7" s="1"/>
  <c r="AH88" i="7" s="1"/>
  <c r="AH89" i="7" s="1"/>
  <c r="AH90" i="7" s="1"/>
  <c r="Q82" i="7"/>
  <c r="AG82" i="7" s="1"/>
  <c r="AG83" i="7" s="1"/>
  <c r="AG84" i="7" s="1"/>
  <c r="AG85" i="7" s="1"/>
  <c r="AG86" i="7" s="1"/>
  <c r="AG87" i="7" s="1"/>
  <c r="AG88" i="7" s="1"/>
  <c r="AG89" i="7" s="1"/>
  <c r="AG90" i="7" s="1"/>
  <c r="P82" i="7"/>
  <c r="AF82" i="7" s="1"/>
  <c r="AF83" i="7" s="1"/>
  <c r="AF84" i="7" s="1"/>
  <c r="AF85" i="7" s="1"/>
  <c r="AF86" i="7" s="1"/>
  <c r="AF87" i="7" s="1"/>
  <c r="AF88" i="7" s="1"/>
  <c r="AF89" i="7" s="1"/>
  <c r="AF90" i="7" s="1"/>
  <c r="O82" i="7"/>
  <c r="AE82" i="7" s="1"/>
  <c r="AE83" i="7" s="1"/>
  <c r="AE84" i="7" s="1"/>
  <c r="AE85" i="7" s="1"/>
  <c r="AE86" i="7" s="1"/>
  <c r="AE87" i="7" s="1"/>
  <c r="AE88" i="7" s="1"/>
  <c r="AE89" i="7" s="1"/>
  <c r="AE90" i="7" s="1"/>
  <c r="N82" i="7"/>
  <c r="AD82" i="7" s="1"/>
  <c r="AD83" i="7" s="1"/>
  <c r="AD84" i="7" s="1"/>
  <c r="AD85" i="7" s="1"/>
  <c r="AD86" i="7" s="1"/>
  <c r="AD87" i="7" s="1"/>
  <c r="AD88" i="7" s="1"/>
  <c r="AD89" i="7" s="1"/>
  <c r="AD90" i="7" s="1"/>
  <c r="M82" i="7"/>
  <c r="AC82" i="7" s="1"/>
  <c r="AC83" i="7" s="1"/>
  <c r="AC84" i="7" s="1"/>
  <c r="AC85" i="7" s="1"/>
  <c r="AC86" i="7" s="1"/>
  <c r="AC87" i="7" s="1"/>
  <c r="AC88" i="7" s="1"/>
  <c r="AC89" i="7" s="1"/>
  <c r="AC90" i="7" s="1"/>
  <c r="K82" i="7"/>
  <c r="AA82" i="7" s="1"/>
  <c r="AA83" i="7" s="1"/>
  <c r="AA84" i="7" s="1"/>
  <c r="AA85" i="7" s="1"/>
  <c r="AA86" i="7" s="1"/>
  <c r="AA87" i="7" s="1"/>
  <c r="AA88" i="7" s="1"/>
  <c r="AA89" i="7" s="1"/>
  <c r="AA90" i="7" s="1"/>
  <c r="J82" i="7"/>
  <c r="Z82" i="7" s="1"/>
  <c r="Z83" i="7" s="1"/>
  <c r="Z84" i="7" s="1"/>
  <c r="Z85" i="7" s="1"/>
  <c r="Z86" i="7" s="1"/>
  <c r="Z87" i="7" s="1"/>
  <c r="Z88" i="7" s="1"/>
  <c r="Z89" i="7" s="1"/>
  <c r="Z90" i="7" s="1"/>
  <c r="I82" i="7"/>
  <c r="Y82" i="7" s="1"/>
  <c r="Y83" i="7" s="1"/>
  <c r="Y84" i="7" s="1"/>
  <c r="Y85" i="7" s="1"/>
  <c r="Y86" i="7" s="1"/>
  <c r="Y87" i="7" s="1"/>
  <c r="Y88" i="7" s="1"/>
  <c r="Y89" i="7" s="1"/>
  <c r="Y90" i="7" s="1"/>
  <c r="H82" i="7"/>
  <c r="X82" i="7" s="1"/>
  <c r="X83" i="7" s="1"/>
  <c r="X84" i="7" s="1"/>
  <c r="X85" i="7" s="1"/>
  <c r="X86" i="7" s="1"/>
  <c r="X87" i="7" s="1"/>
  <c r="X88" i="7" s="1"/>
  <c r="X89" i="7" s="1"/>
  <c r="X90" i="7" s="1"/>
  <c r="G82" i="7"/>
  <c r="W82" i="7" s="1"/>
  <c r="W83" i="7" s="1"/>
  <c r="W84" i="7" s="1"/>
  <c r="W85" i="7" s="1"/>
  <c r="W86" i="7" s="1"/>
  <c r="W87" i="7" s="1"/>
  <c r="W88" i="7" s="1"/>
  <c r="W89" i="7" s="1"/>
  <c r="W90" i="7" s="1"/>
  <c r="N94" i="6"/>
  <c r="M94" i="6"/>
  <c r="K94" i="6"/>
  <c r="J94" i="6"/>
  <c r="I94" i="6"/>
  <c r="H94" i="6"/>
  <c r="G94" i="6"/>
  <c r="N93" i="6"/>
  <c r="M93" i="6"/>
  <c r="K93" i="6"/>
  <c r="J93" i="6"/>
  <c r="I93" i="6"/>
  <c r="H93" i="6"/>
  <c r="G93" i="6"/>
  <c r="N92" i="6"/>
  <c r="M92" i="6"/>
  <c r="K92" i="6"/>
  <c r="J92" i="6"/>
  <c r="I92" i="6"/>
  <c r="H92" i="6"/>
  <c r="G92" i="6"/>
  <c r="R91" i="6"/>
  <c r="Q91" i="6"/>
  <c r="P91" i="6"/>
  <c r="O91" i="6"/>
  <c r="N91" i="6"/>
  <c r="M91" i="6"/>
  <c r="K91" i="6"/>
  <c r="J91" i="6"/>
  <c r="I91" i="6"/>
  <c r="H91" i="6"/>
  <c r="G91" i="6"/>
  <c r="R90" i="6"/>
  <c r="Q90" i="6"/>
  <c r="P90" i="6"/>
  <c r="O90" i="6"/>
  <c r="N90" i="6"/>
  <c r="M90" i="6"/>
  <c r="K90" i="6"/>
  <c r="J90" i="6"/>
  <c r="I90" i="6"/>
  <c r="H90" i="6"/>
  <c r="G90" i="6"/>
  <c r="R89" i="6"/>
  <c r="Q89" i="6"/>
  <c r="P89" i="6"/>
  <c r="O89" i="6"/>
  <c r="N89" i="6"/>
  <c r="M89" i="6"/>
  <c r="K89" i="6"/>
  <c r="J89" i="6"/>
  <c r="I89" i="6"/>
  <c r="H89" i="6"/>
  <c r="G89" i="6"/>
  <c r="R88" i="6"/>
  <c r="Q88" i="6"/>
  <c r="P88" i="6"/>
  <c r="O88" i="6"/>
  <c r="N88" i="6"/>
  <c r="M88" i="6"/>
  <c r="K88" i="6"/>
  <c r="J88" i="6"/>
  <c r="I88" i="6"/>
  <c r="H88" i="6"/>
  <c r="G88" i="6"/>
  <c r="R87" i="6"/>
  <c r="Q87" i="6"/>
  <c r="P87" i="6"/>
  <c r="O87" i="6"/>
  <c r="N87" i="6"/>
  <c r="M87" i="6"/>
  <c r="K87" i="6"/>
  <c r="J87" i="6"/>
  <c r="I87" i="6"/>
  <c r="H87" i="6"/>
  <c r="G87" i="6"/>
  <c r="R86" i="6"/>
  <c r="Q86" i="6"/>
  <c r="P86" i="6"/>
  <c r="O86" i="6"/>
  <c r="N86" i="6"/>
  <c r="M86" i="6"/>
  <c r="K86" i="6"/>
  <c r="J86" i="6"/>
  <c r="I86" i="6"/>
  <c r="H86" i="6"/>
  <c r="G86" i="6"/>
  <c r="R85" i="6"/>
  <c r="Q85" i="6"/>
  <c r="P85" i="6"/>
  <c r="O85" i="6"/>
  <c r="N85" i="6"/>
  <c r="M85" i="6"/>
  <c r="K85" i="6"/>
  <c r="J85" i="6"/>
  <c r="I85" i="6"/>
  <c r="H85" i="6"/>
  <c r="G85" i="6"/>
  <c r="R84" i="6"/>
  <c r="Q84" i="6"/>
  <c r="P84" i="6"/>
  <c r="O84" i="6"/>
  <c r="N84" i="6"/>
  <c r="M84" i="6"/>
  <c r="K84" i="6"/>
  <c r="J84" i="6"/>
  <c r="I84" i="6"/>
  <c r="H84" i="6"/>
  <c r="G84" i="6"/>
  <c r="R83" i="6"/>
  <c r="Q83" i="6"/>
  <c r="P83" i="6"/>
  <c r="O83" i="6"/>
  <c r="N83" i="6"/>
  <c r="M83" i="6"/>
  <c r="K83" i="6"/>
  <c r="J83" i="6"/>
  <c r="I83" i="6"/>
  <c r="H83" i="6"/>
  <c r="G83" i="6"/>
  <c r="AB82" i="6"/>
  <c r="AB83" i="6" s="1"/>
  <c r="AB84" i="6" s="1"/>
  <c r="AB85" i="6" s="1"/>
  <c r="AB86" i="6" s="1"/>
  <c r="AB87" i="6" s="1"/>
  <c r="AB88" i="6" s="1"/>
  <c r="AB89" i="6" s="1"/>
  <c r="AB90" i="6" s="1"/>
  <c r="R82" i="6"/>
  <c r="AH82" i="6" s="1"/>
  <c r="AH83" i="6" s="1"/>
  <c r="AH84" i="6" s="1"/>
  <c r="AH85" i="6" s="1"/>
  <c r="AH86" i="6" s="1"/>
  <c r="AH87" i="6" s="1"/>
  <c r="AH88" i="6" s="1"/>
  <c r="AH89" i="6" s="1"/>
  <c r="AH90" i="6" s="1"/>
  <c r="Q82" i="6"/>
  <c r="AG82" i="6" s="1"/>
  <c r="AG83" i="6" s="1"/>
  <c r="AG84" i="6" s="1"/>
  <c r="AG85" i="6" s="1"/>
  <c r="AG86" i="6" s="1"/>
  <c r="AG87" i="6" s="1"/>
  <c r="AG88" i="6" s="1"/>
  <c r="AG89" i="6" s="1"/>
  <c r="AG90" i="6" s="1"/>
  <c r="P82" i="6"/>
  <c r="AF82" i="6" s="1"/>
  <c r="AF83" i="6" s="1"/>
  <c r="AF84" i="6" s="1"/>
  <c r="AF85" i="6" s="1"/>
  <c r="AF86" i="6" s="1"/>
  <c r="AF87" i="6" s="1"/>
  <c r="AF88" i="6" s="1"/>
  <c r="AF89" i="6" s="1"/>
  <c r="AF90" i="6" s="1"/>
  <c r="O82" i="6"/>
  <c r="AE82" i="6" s="1"/>
  <c r="AE83" i="6" s="1"/>
  <c r="AE84" i="6" s="1"/>
  <c r="AE85" i="6" s="1"/>
  <c r="AE86" i="6" s="1"/>
  <c r="AE87" i="6" s="1"/>
  <c r="AE88" i="6" s="1"/>
  <c r="AE89" i="6" s="1"/>
  <c r="AE90" i="6" s="1"/>
  <c r="N82" i="6"/>
  <c r="AD82" i="6" s="1"/>
  <c r="AD83" i="6" s="1"/>
  <c r="AD84" i="6" s="1"/>
  <c r="AD85" i="6" s="1"/>
  <c r="AD86" i="6" s="1"/>
  <c r="AD87" i="6" s="1"/>
  <c r="AD88" i="6" s="1"/>
  <c r="AD89" i="6" s="1"/>
  <c r="AD90" i="6" s="1"/>
  <c r="M82" i="6"/>
  <c r="AC82" i="6" s="1"/>
  <c r="AC83" i="6" s="1"/>
  <c r="AC84" i="6" s="1"/>
  <c r="AC85" i="6" s="1"/>
  <c r="AC86" i="6" s="1"/>
  <c r="AC87" i="6" s="1"/>
  <c r="AC88" i="6" s="1"/>
  <c r="AC89" i="6" s="1"/>
  <c r="AC90" i="6" s="1"/>
  <c r="K82" i="6"/>
  <c r="AA82" i="6" s="1"/>
  <c r="AA83" i="6" s="1"/>
  <c r="AA84" i="6" s="1"/>
  <c r="AA85" i="6" s="1"/>
  <c r="AA86" i="6" s="1"/>
  <c r="AA87" i="6" s="1"/>
  <c r="AA88" i="6" s="1"/>
  <c r="AA89" i="6" s="1"/>
  <c r="AA90" i="6" s="1"/>
  <c r="J82" i="6"/>
  <c r="Z82" i="6" s="1"/>
  <c r="Z83" i="6" s="1"/>
  <c r="Z84" i="6" s="1"/>
  <c r="Z85" i="6" s="1"/>
  <c r="Z86" i="6" s="1"/>
  <c r="Z87" i="6" s="1"/>
  <c r="Z88" i="6" s="1"/>
  <c r="Z89" i="6" s="1"/>
  <c r="Z90" i="6" s="1"/>
  <c r="I82" i="6"/>
  <c r="Y82" i="6" s="1"/>
  <c r="Y83" i="6" s="1"/>
  <c r="Y84" i="6" s="1"/>
  <c r="Y85" i="6" s="1"/>
  <c r="Y86" i="6" s="1"/>
  <c r="Y87" i="6" s="1"/>
  <c r="Y88" i="6" s="1"/>
  <c r="Y89" i="6" s="1"/>
  <c r="Y90" i="6" s="1"/>
  <c r="H82" i="6"/>
  <c r="X82" i="6" s="1"/>
  <c r="X83" i="6" s="1"/>
  <c r="X84" i="6" s="1"/>
  <c r="X85" i="6" s="1"/>
  <c r="X86" i="6" s="1"/>
  <c r="X87" i="6" s="1"/>
  <c r="X88" i="6" s="1"/>
  <c r="X89" i="6" s="1"/>
  <c r="X90" i="6" s="1"/>
  <c r="G82" i="6"/>
  <c r="W82" i="6" s="1"/>
  <c r="W83" i="6" s="1"/>
  <c r="W84" i="6" s="1"/>
  <c r="W85" i="6" s="1"/>
  <c r="W86" i="6" s="1"/>
  <c r="W87" i="6" s="1"/>
  <c r="W88" i="6" s="1"/>
  <c r="W89" i="6" s="1"/>
  <c r="W90" i="6" s="1"/>
  <c r="N75" i="6"/>
  <c r="M75" i="6"/>
  <c r="K75" i="6"/>
  <c r="J75" i="6"/>
  <c r="I75" i="6"/>
  <c r="G75" i="6"/>
  <c r="N74" i="6"/>
  <c r="M74" i="6"/>
  <c r="K74" i="6"/>
  <c r="J74" i="6"/>
  <c r="I74" i="6"/>
  <c r="G74" i="6"/>
  <c r="N73" i="6"/>
  <c r="M73" i="6"/>
  <c r="K73" i="6"/>
  <c r="J73" i="6"/>
  <c r="I73" i="6"/>
  <c r="G73" i="6"/>
  <c r="R72" i="6"/>
  <c r="Q72" i="6"/>
  <c r="O72" i="6"/>
  <c r="N72" i="6"/>
  <c r="M72" i="6"/>
  <c r="K72" i="6"/>
  <c r="J72" i="6"/>
  <c r="I72" i="6"/>
  <c r="G72" i="6"/>
  <c r="R71" i="6"/>
  <c r="Q71" i="6"/>
  <c r="O71" i="6"/>
  <c r="N71" i="6"/>
  <c r="M71" i="6"/>
  <c r="K71" i="6"/>
  <c r="J71" i="6"/>
  <c r="I71" i="6"/>
  <c r="G71" i="6"/>
  <c r="R70" i="6"/>
  <c r="Q70" i="6"/>
  <c r="O70" i="6"/>
  <c r="N70" i="6"/>
  <c r="M70" i="6"/>
  <c r="K70" i="6"/>
  <c r="J70" i="6"/>
  <c r="I70" i="6"/>
  <c r="G70" i="6"/>
  <c r="R69" i="6"/>
  <c r="Q69" i="6"/>
  <c r="O69" i="6"/>
  <c r="N69" i="6"/>
  <c r="M69" i="6"/>
  <c r="K69" i="6"/>
  <c r="J69" i="6"/>
  <c r="I69" i="6"/>
  <c r="G69" i="6"/>
  <c r="R68" i="6"/>
  <c r="Q68" i="6"/>
  <c r="O68" i="6"/>
  <c r="N68" i="6"/>
  <c r="M68" i="6"/>
  <c r="K68" i="6"/>
  <c r="J68" i="6"/>
  <c r="I68" i="6"/>
  <c r="G68" i="6"/>
  <c r="R67" i="6"/>
  <c r="Q67" i="6"/>
  <c r="O67" i="6"/>
  <c r="N67" i="6"/>
  <c r="M67" i="6"/>
  <c r="K67" i="6"/>
  <c r="J67" i="6"/>
  <c r="I67" i="6"/>
  <c r="G67" i="6"/>
  <c r="R66" i="6"/>
  <c r="Q66" i="6"/>
  <c r="O66" i="6"/>
  <c r="N66" i="6"/>
  <c r="M66" i="6"/>
  <c r="K66" i="6"/>
  <c r="J66" i="6"/>
  <c r="I66" i="6"/>
  <c r="G66" i="6"/>
  <c r="R65" i="6"/>
  <c r="Q65" i="6"/>
  <c r="O65" i="6"/>
  <c r="N65" i="6"/>
  <c r="M65" i="6"/>
  <c r="K65" i="6"/>
  <c r="J65" i="6"/>
  <c r="I65" i="6"/>
  <c r="G65" i="6"/>
  <c r="R64" i="6"/>
  <c r="Q64" i="6"/>
  <c r="O64" i="6"/>
  <c r="N64" i="6"/>
  <c r="M64" i="6"/>
  <c r="K64" i="6"/>
  <c r="J64" i="6"/>
  <c r="I64" i="6"/>
  <c r="G64" i="6"/>
  <c r="AF63" i="6"/>
  <c r="AF64" i="6" s="1"/>
  <c r="AF65" i="6" s="1"/>
  <c r="AF66" i="6" s="1"/>
  <c r="AF67" i="6" s="1"/>
  <c r="AF68" i="6" s="1"/>
  <c r="AF69" i="6" s="1"/>
  <c r="AF70" i="6" s="1"/>
  <c r="AF71" i="6" s="1"/>
  <c r="AB63" i="6"/>
  <c r="AB64" i="6" s="1"/>
  <c r="AB65" i="6" s="1"/>
  <c r="AB66" i="6" s="1"/>
  <c r="AB67" i="6" s="1"/>
  <c r="AB68" i="6" s="1"/>
  <c r="AB69" i="6" s="1"/>
  <c r="AB70" i="6" s="1"/>
  <c r="AB71" i="6" s="1"/>
  <c r="X63" i="6"/>
  <c r="X64" i="6" s="1"/>
  <c r="X65" i="6" s="1"/>
  <c r="X66" i="6" s="1"/>
  <c r="X67" i="6" s="1"/>
  <c r="X68" i="6" s="1"/>
  <c r="X69" i="6" s="1"/>
  <c r="X70" i="6" s="1"/>
  <c r="X71" i="6" s="1"/>
  <c r="R63" i="6"/>
  <c r="AH63" i="6" s="1"/>
  <c r="AH64" i="6" s="1"/>
  <c r="AH65" i="6" s="1"/>
  <c r="AH66" i="6" s="1"/>
  <c r="AH67" i="6" s="1"/>
  <c r="AH68" i="6" s="1"/>
  <c r="AH69" i="6" s="1"/>
  <c r="AH70" i="6" s="1"/>
  <c r="AH71" i="6" s="1"/>
  <c r="Q63" i="6"/>
  <c r="AG63" i="6" s="1"/>
  <c r="AG64" i="6" s="1"/>
  <c r="AG65" i="6" s="1"/>
  <c r="AG66" i="6" s="1"/>
  <c r="AG67" i="6" s="1"/>
  <c r="AG68" i="6" s="1"/>
  <c r="AG69" i="6" s="1"/>
  <c r="AG70" i="6" s="1"/>
  <c r="AG71" i="6" s="1"/>
  <c r="O63" i="6"/>
  <c r="AE63" i="6" s="1"/>
  <c r="AE64" i="6" s="1"/>
  <c r="AE65" i="6" s="1"/>
  <c r="AE66" i="6" s="1"/>
  <c r="AE67" i="6" s="1"/>
  <c r="AE68" i="6" s="1"/>
  <c r="AE69" i="6" s="1"/>
  <c r="AE70" i="6" s="1"/>
  <c r="AE71" i="6" s="1"/>
  <c r="N63" i="6"/>
  <c r="AD63" i="6" s="1"/>
  <c r="AD64" i="6" s="1"/>
  <c r="AD65" i="6" s="1"/>
  <c r="AD66" i="6" s="1"/>
  <c r="AD67" i="6" s="1"/>
  <c r="AD68" i="6" s="1"/>
  <c r="AD69" i="6" s="1"/>
  <c r="AD70" i="6" s="1"/>
  <c r="AD71" i="6" s="1"/>
  <c r="M63" i="6"/>
  <c r="AC63" i="6" s="1"/>
  <c r="AC64" i="6" s="1"/>
  <c r="AC65" i="6" s="1"/>
  <c r="AC66" i="6" s="1"/>
  <c r="AC67" i="6" s="1"/>
  <c r="AC68" i="6" s="1"/>
  <c r="AC69" i="6" s="1"/>
  <c r="AC70" i="6" s="1"/>
  <c r="AC71" i="6" s="1"/>
  <c r="K63" i="6"/>
  <c r="AA63" i="6" s="1"/>
  <c r="AA64" i="6" s="1"/>
  <c r="AA65" i="6" s="1"/>
  <c r="AA66" i="6" s="1"/>
  <c r="AA67" i="6" s="1"/>
  <c r="AA68" i="6" s="1"/>
  <c r="AA69" i="6" s="1"/>
  <c r="AA70" i="6" s="1"/>
  <c r="AA71" i="6" s="1"/>
  <c r="J63" i="6"/>
  <c r="Z63" i="6" s="1"/>
  <c r="Z64" i="6" s="1"/>
  <c r="Z65" i="6" s="1"/>
  <c r="Z66" i="6" s="1"/>
  <c r="Z67" i="6" s="1"/>
  <c r="Z68" i="6" s="1"/>
  <c r="Z69" i="6" s="1"/>
  <c r="Z70" i="6" s="1"/>
  <c r="Z71" i="6" s="1"/>
  <c r="I63" i="6"/>
  <c r="Y63" i="6" s="1"/>
  <c r="Y64" i="6" s="1"/>
  <c r="Y65" i="6" s="1"/>
  <c r="Y66" i="6" s="1"/>
  <c r="Y67" i="6" s="1"/>
  <c r="Y68" i="6" s="1"/>
  <c r="Y69" i="6" s="1"/>
  <c r="Y70" i="6" s="1"/>
  <c r="Y71" i="6" s="1"/>
  <c r="G63" i="6"/>
  <c r="W63" i="6" s="1"/>
  <c r="R135" i="1"/>
  <c r="R134" i="1"/>
  <c r="R133" i="1"/>
  <c r="R132" i="1"/>
  <c r="R131" i="1"/>
  <c r="R130" i="1"/>
  <c r="R129" i="1"/>
  <c r="R128" i="1"/>
  <c r="R127" i="1"/>
  <c r="R126" i="1"/>
  <c r="AH126" i="1" s="1"/>
  <c r="AH127" i="1" s="1"/>
  <c r="AH128" i="1" s="1"/>
  <c r="AH129" i="1" s="1"/>
  <c r="AH130" i="1" s="1"/>
  <c r="AH131" i="1" s="1"/>
  <c r="AH132" i="1" s="1"/>
  <c r="AH133" i="1" s="1"/>
  <c r="AH134" i="1" s="1"/>
  <c r="Q135" i="1"/>
  <c r="Q134" i="1"/>
  <c r="Q133" i="1"/>
  <c r="Q132" i="1"/>
  <c r="Q131" i="1"/>
  <c r="Q130" i="1"/>
  <c r="Q129" i="1"/>
  <c r="Q128" i="1"/>
  <c r="Q127" i="1"/>
  <c r="Q126" i="1"/>
  <c r="AG126" i="1" s="1"/>
  <c r="AG127" i="1" s="1"/>
  <c r="AG128" i="1" s="1"/>
  <c r="AG129" i="1" s="1"/>
  <c r="AG130" i="1" s="1"/>
  <c r="AG131" i="1" s="1"/>
  <c r="AG132" i="1" s="1"/>
  <c r="AG133" i="1" s="1"/>
  <c r="AG134" i="1" s="1"/>
  <c r="P135" i="1"/>
  <c r="P134" i="1"/>
  <c r="P133" i="1"/>
  <c r="P132" i="1"/>
  <c r="P131" i="1"/>
  <c r="P130" i="1"/>
  <c r="P129" i="1"/>
  <c r="P128" i="1"/>
  <c r="P127" i="1"/>
  <c r="P126" i="1"/>
  <c r="O135" i="1"/>
  <c r="O134" i="1"/>
  <c r="O133" i="1"/>
  <c r="O132" i="1"/>
  <c r="O131" i="1"/>
  <c r="O130" i="1"/>
  <c r="O129" i="1"/>
  <c r="O126" i="1"/>
  <c r="O128" i="1"/>
  <c r="O127" i="1"/>
  <c r="AE126" i="1"/>
  <c r="AE127" i="1" s="1"/>
  <c r="AE128" i="1" s="1"/>
  <c r="AE129" i="1" s="1"/>
  <c r="AE130" i="1" s="1"/>
  <c r="AE131" i="1" s="1"/>
  <c r="AE132" i="1" s="1"/>
  <c r="AE133" i="1" s="1"/>
  <c r="AE134" i="1" s="1"/>
  <c r="N138" i="1"/>
  <c r="N137" i="1"/>
  <c r="N136" i="1"/>
  <c r="N134" i="1"/>
  <c r="N133" i="1"/>
  <c r="N132" i="1"/>
  <c r="N128" i="1"/>
  <c r="N127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M126" i="1"/>
  <c r="N126" i="1"/>
  <c r="AD126" i="1" s="1"/>
  <c r="AD127" i="1" s="1"/>
  <c r="AD128" i="1" s="1"/>
  <c r="AD129" i="1" s="1"/>
  <c r="AD130" i="1" s="1"/>
  <c r="AD131" i="1" s="1"/>
  <c r="AD132" i="1" s="1"/>
  <c r="AD133" i="1" s="1"/>
  <c r="AD134" i="1" s="1"/>
  <c r="L126" i="1"/>
  <c r="K126" i="1"/>
  <c r="J135" i="1"/>
  <c r="N135" i="1"/>
  <c r="N131" i="1"/>
  <c r="J131" i="1"/>
  <c r="I132" i="1"/>
  <c r="I133" i="1"/>
  <c r="I134" i="1"/>
  <c r="I135" i="1"/>
  <c r="I136" i="1"/>
  <c r="I137" i="1"/>
  <c r="I138" i="1"/>
  <c r="J130" i="1"/>
  <c r="N130" i="1"/>
  <c r="J129" i="1"/>
  <c r="N129" i="1"/>
  <c r="J128" i="1"/>
  <c r="J138" i="1"/>
  <c r="J137" i="1"/>
  <c r="J136" i="1"/>
  <c r="J134" i="1"/>
  <c r="J133" i="1"/>
  <c r="J132" i="1"/>
  <c r="J127" i="1"/>
  <c r="J126" i="1"/>
  <c r="I131" i="1"/>
  <c r="I130" i="1"/>
  <c r="I129" i="1"/>
  <c r="I128" i="1"/>
  <c r="I127" i="1"/>
  <c r="I126" i="1"/>
  <c r="Y126" i="1" s="1"/>
  <c r="Y127" i="1" s="1"/>
  <c r="Y128" i="1" s="1"/>
  <c r="Y129" i="1" s="1"/>
  <c r="Y130" i="1" s="1"/>
  <c r="Y131" i="1" s="1"/>
  <c r="Y132" i="1" s="1"/>
  <c r="Y133" i="1" s="1"/>
  <c r="Y134" i="1" s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X126" i="1" s="1"/>
  <c r="X127" i="1" s="1"/>
  <c r="X128" i="1" s="1"/>
  <c r="X129" i="1" s="1"/>
  <c r="X130" i="1" s="1"/>
  <c r="X131" i="1" s="1"/>
  <c r="X132" i="1" s="1"/>
  <c r="X133" i="1" s="1"/>
  <c r="X134" i="1" s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AB126" i="1"/>
  <c r="AB127" i="1" s="1"/>
  <c r="AB128" i="1" s="1"/>
  <c r="AB129" i="1" s="1"/>
  <c r="AB130" i="1" s="1"/>
  <c r="AB131" i="1" s="1"/>
  <c r="AB132" i="1" s="1"/>
  <c r="AB133" i="1" s="1"/>
  <c r="AB134" i="1" s="1"/>
  <c r="AF126" i="1"/>
  <c r="AF127" i="1" s="1"/>
  <c r="AF128" i="1" s="1"/>
  <c r="AF129" i="1" s="1"/>
  <c r="AF130" i="1" s="1"/>
  <c r="AF131" i="1" s="1"/>
  <c r="AF132" i="1" s="1"/>
  <c r="AF133" i="1" s="1"/>
  <c r="AF134" i="1" s="1"/>
  <c r="AC126" i="1"/>
  <c r="AC127" i="1" s="1"/>
  <c r="AC128" i="1" s="1"/>
  <c r="AC129" i="1" s="1"/>
  <c r="AC130" i="1" s="1"/>
  <c r="AC131" i="1" s="1"/>
  <c r="AC132" i="1" s="1"/>
  <c r="AC133" i="1" s="1"/>
  <c r="AC134" i="1" s="1"/>
  <c r="AA126" i="1"/>
  <c r="AA127" i="1" s="1"/>
  <c r="AA128" i="1" s="1"/>
  <c r="AA129" i="1" s="1"/>
  <c r="AA130" i="1" s="1"/>
  <c r="AA131" i="1" s="1"/>
  <c r="AA132" i="1" s="1"/>
  <c r="AA133" i="1" s="1"/>
  <c r="AA134" i="1" s="1"/>
  <c r="Z126" i="1"/>
  <c r="Z127" i="1" s="1"/>
  <c r="Z128" i="1" s="1"/>
  <c r="Z129" i="1" s="1"/>
  <c r="Z130" i="1" s="1"/>
  <c r="Z131" i="1" s="1"/>
  <c r="Z132" i="1" s="1"/>
  <c r="Z133" i="1" s="1"/>
  <c r="Z134" i="1" s="1"/>
  <c r="W126" i="1"/>
  <c r="W127" i="1" s="1"/>
  <c r="W128" i="1" s="1"/>
  <c r="W129" i="1" s="1"/>
  <c r="W130" i="1" s="1"/>
  <c r="W131" i="1" s="1"/>
  <c r="W132" i="1" s="1"/>
  <c r="W133" i="1" s="1"/>
  <c r="W134" i="1" s="1"/>
  <c r="R117" i="1"/>
  <c r="R116" i="1"/>
  <c r="R115" i="1"/>
  <c r="R114" i="1"/>
  <c r="R113" i="1"/>
  <c r="R112" i="1"/>
  <c r="R111" i="1"/>
  <c r="R110" i="1"/>
  <c r="R109" i="1"/>
  <c r="Q117" i="1"/>
  <c r="Q116" i="1"/>
  <c r="Q115" i="1"/>
  <c r="Q114" i="1"/>
  <c r="Q113" i="1"/>
  <c r="Q112" i="1"/>
  <c r="Q111" i="1"/>
  <c r="Q110" i="1"/>
  <c r="Q109" i="1"/>
  <c r="P117" i="1"/>
  <c r="P116" i="1"/>
  <c r="P115" i="1"/>
  <c r="P114" i="1"/>
  <c r="P113" i="1"/>
  <c r="P112" i="1"/>
  <c r="P111" i="1"/>
  <c r="P110" i="1"/>
  <c r="P109" i="1"/>
  <c r="P108" i="1"/>
  <c r="R108" i="1"/>
  <c r="AH108" i="1" s="1"/>
  <c r="AH109" i="1" s="1"/>
  <c r="AH110" i="1" s="1"/>
  <c r="AH111" i="1" s="1"/>
  <c r="AH112" i="1" s="1"/>
  <c r="AH113" i="1" s="1"/>
  <c r="Q108" i="1"/>
  <c r="AG108" i="1" s="1"/>
  <c r="AG109" i="1" s="1"/>
  <c r="AG110" i="1" s="1"/>
  <c r="AG111" i="1" s="1"/>
  <c r="AG112" i="1" s="1"/>
  <c r="AG113" i="1" s="1"/>
  <c r="AG114" i="1" s="1"/>
  <c r="AG115" i="1" s="1"/>
  <c r="AG116" i="1" s="1"/>
  <c r="AF108" i="1"/>
  <c r="AF109" i="1" s="1"/>
  <c r="AF110" i="1" s="1"/>
  <c r="AF111" i="1" s="1"/>
  <c r="AF112" i="1" s="1"/>
  <c r="AF113" i="1" s="1"/>
  <c r="AF114" i="1" s="1"/>
  <c r="AF115" i="1" s="1"/>
  <c r="AF116" i="1" s="1"/>
  <c r="O117" i="1"/>
  <c r="O116" i="1"/>
  <c r="O115" i="1"/>
  <c r="O114" i="1"/>
  <c r="O113" i="1"/>
  <c r="O112" i="1"/>
  <c r="O111" i="1"/>
  <c r="O110" i="1"/>
  <c r="O109" i="1"/>
  <c r="O108" i="1"/>
  <c r="AE108" i="1"/>
  <c r="AE109" i="1" s="1"/>
  <c r="AE110" i="1" s="1"/>
  <c r="AE111" i="1" s="1"/>
  <c r="AE112" i="1" s="1"/>
  <c r="AE113" i="1" s="1"/>
  <c r="AE114" i="1" s="1"/>
  <c r="AE115" i="1" s="1"/>
  <c r="AE116" i="1" s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AA108" i="1" s="1"/>
  <c r="AA109" i="1" s="1"/>
  <c r="AA110" i="1" s="1"/>
  <c r="AA111" i="1" s="1"/>
  <c r="AA112" i="1" s="1"/>
  <c r="AA113" i="1" s="1"/>
  <c r="AA114" i="1" s="1"/>
  <c r="AA115" i="1" s="1"/>
  <c r="AA116" i="1" s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Y108" i="1" s="1"/>
  <c r="Y109" i="1" s="1"/>
  <c r="Y110" i="1" s="1"/>
  <c r="Y111" i="1" s="1"/>
  <c r="Y112" i="1" s="1"/>
  <c r="Y113" i="1" s="1"/>
  <c r="Y114" i="1" s="1"/>
  <c r="Y115" i="1" s="1"/>
  <c r="Y116" i="1" s="1"/>
  <c r="H120" i="1"/>
  <c r="H109" i="1"/>
  <c r="H119" i="1"/>
  <c r="H118" i="1"/>
  <c r="H117" i="1"/>
  <c r="H116" i="1"/>
  <c r="H115" i="1"/>
  <c r="H114" i="1"/>
  <c r="H113" i="1"/>
  <c r="H110" i="1"/>
  <c r="H112" i="1"/>
  <c r="H111" i="1"/>
  <c r="G108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W108" i="1"/>
  <c r="W109" i="1" s="1"/>
  <c r="W110" i="1" s="1"/>
  <c r="W111" i="1" s="1"/>
  <c r="W112" i="1" s="1"/>
  <c r="W113" i="1" s="1"/>
  <c r="W114" i="1" s="1"/>
  <c r="W115" i="1" s="1"/>
  <c r="W116" i="1" s="1"/>
  <c r="X108" i="1"/>
  <c r="X109" i="1" s="1"/>
  <c r="X110" i="1" s="1"/>
  <c r="X111" i="1" s="1"/>
  <c r="X112" i="1" s="1"/>
  <c r="X113" i="1" s="1"/>
  <c r="X114" i="1" s="1"/>
  <c r="X115" i="1" s="1"/>
  <c r="X116" i="1" s="1"/>
  <c r="AD108" i="1"/>
  <c r="AD109" i="1" s="1"/>
  <c r="AD110" i="1" s="1"/>
  <c r="AD111" i="1" s="1"/>
  <c r="AD112" i="1" s="1"/>
  <c r="AD113" i="1" s="1"/>
  <c r="AD114" i="1" s="1"/>
  <c r="AD115" i="1" s="1"/>
  <c r="AD116" i="1" s="1"/>
  <c r="AC108" i="1"/>
  <c r="AC109" i="1" s="1"/>
  <c r="AC110" i="1" s="1"/>
  <c r="AC111" i="1" s="1"/>
  <c r="AC112" i="1" s="1"/>
  <c r="AC113" i="1" s="1"/>
  <c r="AC114" i="1" s="1"/>
  <c r="AC115" i="1" s="1"/>
  <c r="AC116" i="1" s="1"/>
  <c r="Z108" i="1"/>
  <c r="Z109" i="1" s="1"/>
  <c r="Z110" i="1" s="1"/>
  <c r="AH89" i="1"/>
  <c r="AB89" i="1"/>
  <c r="AC89" i="1"/>
  <c r="AD89" i="1"/>
  <c r="AE89" i="1"/>
  <c r="AF89" i="1"/>
  <c r="AG89" i="1"/>
  <c r="R97" i="1"/>
  <c r="R96" i="1"/>
  <c r="R95" i="1"/>
  <c r="R94" i="1"/>
  <c r="R93" i="1"/>
  <c r="R92" i="1"/>
  <c r="R91" i="1"/>
  <c r="R90" i="1"/>
  <c r="R89" i="1"/>
  <c r="O89" i="1"/>
  <c r="R98" i="1"/>
  <c r="Q98" i="1"/>
  <c r="Q97" i="1"/>
  <c r="Q96" i="1"/>
  <c r="Q95" i="1"/>
  <c r="Q94" i="1"/>
  <c r="Q93" i="1"/>
  <c r="Q92" i="1"/>
  <c r="Q91" i="1"/>
  <c r="Q90" i="1"/>
  <c r="Q89" i="1"/>
  <c r="O98" i="1"/>
  <c r="O97" i="1"/>
  <c r="O96" i="1"/>
  <c r="O95" i="1"/>
  <c r="O94" i="1"/>
  <c r="O93" i="1"/>
  <c r="O92" i="1"/>
  <c r="N89" i="1"/>
  <c r="O91" i="1"/>
  <c r="O90" i="1"/>
  <c r="N101" i="1"/>
  <c r="N100" i="1"/>
  <c r="N99" i="1"/>
  <c r="N98" i="1"/>
  <c r="N97" i="1"/>
  <c r="N96" i="1"/>
  <c r="N95" i="1"/>
  <c r="N94" i="1"/>
  <c r="N93" i="1"/>
  <c r="N92" i="1"/>
  <c r="N91" i="1"/>
  <c r="N90" i="1"/>
  <c r="M89" i="1"/>
  <c r="M101" i="1"/>
  <c r="M100" i="1"/>
  <c r="M99" i="1"/>
  <c r="M98" i="1"/>
  <c r="M97" i="1"/>
  <c r="M96" i="1"/>
  <c r="M95" i="1"/>
  <c r="M94" i="1"/>
  <c r="M93" i="1"/>
  <c r="M92" i="1"/>
  <c r="M91" i="1"/>
  <c r="M90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Z89" i="1" s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AA89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W89" i="1" s="1"/>
  <c r="Y89" i="1"/>
  <c r="X89" i="1"/>
  <c r="R47" i="3"/>
  <c r="R46" i="3"/>
  <c r="R45" i="3"/>
  <c r="R44" i="3"/>
  <c r="R43" i="3"/>
  <c r="R42" i="3"/>
  <c r="R41" i="3"/>
  <c r="R40" i="3"/>
  <c r="R39" i="3"/>
  <c r="R38" i="3"/>
  <c r="AH38" i="3" s="1"/>
  <c r="Q47" i="3"/>
  <c r="Q46" i="3"/>
  <c r="Q45" i="3"/>
  <c r="Q44" i="3"/>
  <c r="Q43" i="3"/>
  <c r="Q42" i="3"/>
  <c r="Q41" i="3"/>
  <c r="Q40" i="3"/>
  <c r="Q39" i="3"/>
  <c r="Q38" i="3"/>
  <c r="AG38" i="3" s="1"/>
  <c r="P38" i="3"/>
  <c r="AF38" i="3" s="1"/>
  <c r="P47" i="3"/>
  <c r="P46" i="3"/>
  <c r="P45" i="3"/>
  <c r="P44" i="3"/>
  <c r="P43" i="3"/>
  <c r="P42" i="3"/>
  <c r="P41" i="3"/>
  <c r="P40" i="3"/>
  <c r="P39" i="3"/>
  <c r="O47" i="3"/>
  <c r="O46" i="3"/>
  <c r="O45" i="3"/>
  <c r="O44" i="3"/>
  <c r="O43" i="3"/>
  <c r="O42" i="3"/>
  <c r="O41" i="3"/>
  <c r="O38" i="3"/>
  <c r="AE38" i="3" s="1"/>
  <c r="O40" i="3"/>
  <c r="O39" i="3"/>
  <c r="N50" i="3"/>
  <c r="N49" i="3"/>
  <c r="N48" i="3"/>
  <c r="N47" i="3"/>
  <c r="N46" i="3"/>
  <c r="N45" i="3"/>
  <c r="N44" i="3"/>
  <c r="N43" i="3"/>
  <c r="N41" i="3"/>
  <c r="N40" i="3"/>
  <c r="N39" i="3"/>
  <c r="N38" i="3"/>
  <c r="AD38" i="3" s="1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AC38" i="3" s="1"/>
  <c r="K50" i="3"/>
  <c r="K49" i="3"/>
  <c r="K48" i="3"/>
  <c r="K47" i="3"/>
  <c r="K46" i="3"/>
  <c r="K45" i="3"/>
  <c r="K44" i="3"/>
  <c r="K43" i="3"/>
  <c r="K41" i="3"/>
  <c r="K39" i="3"/>
  <c r="K38" i="3"/>
  <c r="AA38" i="3" s="1"/>
  <c r="K40" i="3"/>
  <c r="J50" i="3"/>
  <c r="J49" i="3"/>
  <c r="J48" i="3"/>
  <c r="J47" i="3"/>
  <c r="J46" i="3"/>
  <c r="J45" i="3"/>
  <c r="J44" i="3"/>
  <c r="J43" i="3"/>
  <c r="J42" i="3"/>
  <c r="I42" i="3"/>
  <c r="H42" i="3"/>
  <c r="G42" i="3"/>
  <c r="J41" i="3"/>
  <c r="J40" i="3"/>
  <c r="J39" i="3"/>
  <c r="J38" i="3"/>
  <c r="I50" i="3"/>
  <c r="I49" i="3"/>
  <c r="I48" i="3"/>
  <c r="I47" i="3"/>
  <c r="I46" i="3"/>
  <c r="I45" i="3"/>
  <c r="I44" i="3"/>
  <c r="I43" i="3"/>
  <c r="I41" i="3"/>
  <c r="I40" i="3"/>
  <c r="I39" i="3"/>
  <c r="I38" i="3"/>
  <c r="Y38" i="3" s="1"/>
  <c r="H50" i="3"/>
  <c r="H49" i="3"/>
  <c r="H48" i="3"/>
  <c r="H47" i="3"/>
  <c r="H46" i="3"/>
  <c r="H45" i="3"/>
  <c r="H44" i="3"/>
  <c r="H43" i="3"/>
  <c r="H41" i="3"/>
  <c r="H40" i="3"/>
  <c r="H39" i="3"/>
  <c r="H38" i="3"/>
  <c r="X38" i="3" s="1"/>
  <c r="L50" i="3"/>
  <c r="L49" i="3"/>
  <c r="L48" i="3"/>
  <c r="L47" i="3"/>
  <c r="L46" i="3"/>
  <c r="L45" i="3"/>
  <c r="L44" i="3"/>
  <c r="L43" i="3"/>
  <c r="L41" i="3"/>
  <c r="L40" i="3"/>
  <c r="L39" i="3"/>
  <c r="Z38" i="3"/>
  <c r="L38" i="3"/>
  <c r="AB38" i="3" s="1"/>
  <c r="G46" i="3"/>
  <c r="G50" i="3"/>
  <c r="G49" i="3"/>
  <c r="G48" i="3"/>
  <c r="G47" i="3"/>
  <c r="G45" i="3"/>
  <c r="G44" i="3"/>
  <c r="G43" i="3"/>
  <c r="G41" i="3"/>
  <c r="G40" i="3"/>
  <c r="G39" i="3"/>
  <c r="G38" i="3"/>
  <c r="W38" i="3" s="1"/>
  <c r="U5" i="3"/>
  <c r="U4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" i="3"/>
  <c r="I28" i="3"/>
  <c r="I29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3" i="3"/>
  <c r="AA39" i="3" l="1"/>
  <c r="AA40" i="3" s="1"/>
  <c r="AA41" i="3" s="1"/>
  <c r="AA42" i="3" s="1"/>
  <c r="AA43" i="3" s="1"/>
  <c r="AA44" i="3" s="1"/>
  <c r="AA45" i="3" s="1"/>
  <c r="AA46" i="3" s="1"/>
  <c r="AC39" i="3"/>
  <c r="AC40" i="3" s="1"/>
  <c r="AF39" i="3"/>
  <c r="AF40" i="3" s="1"/>
  <c r="AF41" i="3" s="1"/>
  <c r="AF42" i="3" s="1"/>
  <c r="AF43" i="3" s="1"/>
  <c r="AF44" i="3" s="1"/>
  <c r="AF45" i="3" s="1"/>
  <c r="AF46" i="3" s="1"/>
  <c r="AD39" i="3"/>
  <c r="AD40" i="3" s="1"/>
  <c r="AD41" i="3" s="1"/>
  <c r="AD42" i="3" s="1"/>
  <c r="AD43" i="3" s="1"/>
  <c r="AD44" i="3" s="1"/>
  <c r="AD45" i="3" s="1"/>
  <c r="AD46" i="3" s="1"/>
  <c r="Z39" i="3"/>
  <c r="Z40" i="3" s="1"/>
  <c r="Z41" i="3" s="1"/>
  <c r="Z42" i="3" s="1"/>
  <c r="Z43" i="3" s="1"/>
  <c r="Z44" i="3" s="1"/>
  <c r="Z45" i="3" s="1"/>
  <c r="Z46" i="3" s="1"/>
  <c r="X39" i="3"/>
  <c r="X40" i="3" s="1"/>
  <c r="X41" i="3" s="1"/>
  <c r="X42" i="3" s="1"/>
  <c r="X43" i="3" s="1"/>
  <c r="X44" i="3" s="1"/>
  <c r="X45" i="3" s="1"/>
  <c r="X46" i="3" s="1"/>
  <c r="Y39" i="3"/>
  <c r="Y40" i="3" s="1"/>
  <c r="Y41" i="3" s="1"/>
  <c r="Y42" i="3" s="1"/>
  <c r="Y43" i="3" s="1"/>
  <c r="Y44" i="3" s="1"/>
  <c r="Y45" i="3" s="1"/>
  <c r="Y46" i="3" s="1"/>
  <c r="AE39" i="3"/>
  <c r="AE40" i="3" s="1"/>
  <c r="AE41" i="3" s="1"/>
  <c r="AE42" i="3" s="1"/>
  <c r="AE43" i="3" s="1"/>
  <c r="AE44" i="3" s="1"/>
  <c r="AE45" i="3" s="1"/>
  <c r="AE46" i="3" s="1"/>
  <c r="AH39" i="3"/>
  <c r="AH40" i="3" s="1"/>
  <c r="AH41" i="3" s="1"/>
  <c r="AH42" i="3" s="1"/>
  <c r="AH43" i="3" s="1"/>
  <c r="AH44" i="3" s="1"/>
  <c r="AH45" i="3" s="1"/>
  <c r="AH46" i="3" s="1"/>
  <c r="AC41" i="3"/>
  <c r="AC42" i="3" s="1"/>
  <c r="AC43" i="3" s="1"/>
  <c r="AC44" i="3" s="1"/>
  <c r="AC45" i="3" s="1"/>
  <c r="AC46" i="3" s="1"/>
  <c r="W39" i="3"/>
  <c r="W40" i="3" s="1"/>
  <c r="W41" i="3" s="1"/>
  <c r="W42" i="3" s="1"/>
  <c r="W43" i="3" s="1"/>
  <c r="W44" i="3" s="1"/>
  <c r="W45" i="3" s="1"/>
  <c r="W46" i="3" s="1"/>
  <c r="AB39" i="3"/>
  <c r="AB40" i="3" s="1"/>
  <c r="AB41" i="3" s="1"/>
  <c r="AB42" i="3" s="1"/>
  <c r="AB43" i="3" s="1"/>
  <c r="AB44" i="3" s="1"/>
  <c r="AB45" i="3" s="1"/>
  <c r="AB46" i="3" s="1"/>
  <c r="AG39" i="3"/>
  <c r="AG40" i="3" s="1"/>
  <c r="AG41" i="3" s="1"/>
  <c r="AG42" i="3" s="1"/>
  <c r="AG43" i="3" s="1"/>
  <c r="AG44" i="3" s="1"/>
  <c r="AG45" i="3" s="1"/>
  <c r="AG46" i="3" s="1"/>
  <c r="W64" i="6"/>
  <c r="W65" i="6" s="1"/>
  <c r="W66" i="6" s="1"/>
  <c r="W67" i="6" s="1"/>
  <c r="W68" i="6" s="1"/>
  <c r="W69" i="6" s="1"/>
  <c r="W70" i="6" s="1"/>
  <c r="W71" i="6" s="1"/>
  <c r="AH114" i="1"/>
  <c r="AH115" i="1" s="1"/>
  <c r="AH116" i="1" s="1"/>
  <c r="Z111" i="1"/>
  <c r="Z112" i="1" s="1"/>
  <c r="Z113" i="1" s="1"/>
  <c r="Z114" i="1" s="1"/>
  <c r="Z115" i="1" s="1"/>
  <c r="Z1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Rosmery Barroso</author>
  </authors>
  <commentList>
    <comment ref="J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Rosmery Barroso:</t>
        </r>
        <r>
          <rPr>
            <sz val="9"/>
            <color indexed="81"/>
            <rFont val="Tahoma"/>
            <charset val="1"/>
          </rPr>
          <t xml:space="preserve">
MMNL_cont_sinInt_pool_VAPEAexc
</t>
        </r>
      </text>
    </comment>
    <comment ref="N1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Rosmery Barroso:</t>
        </r>
        <r>
          <rPr>
            <sz val="9"/>
            <color indexed="81"/>
            <rFont val="Tahoma"/>
            <charset val="1"/>
          </rPr>
          <t xml:space="preserve">
MMNL_cont_sinInt_pool_VAPEAdual_estimates
</t>
        </r>
      </text>
    </comment>
  </commentList>
</comments>
</file>

<file path=xl/sharedStrings.xml><?xml version="1.0" encoding="utf-8"?>
<sst xmlns="http://schemas.openxmlformats.org/spreadsheetml/2006/main" count="917" uniqueCount="232">
  <si>
    <t>Conventional only</t>
  </si>
  <si>
    <t>Mainly E-cig- Exc</t>
  </si>
  <si>
    <t>Mainly E-cig-dual</t>
  </si>
  <si>
    <t>Parameter</t>
  </si>
  <si>
    <t>Estimate</t>
  </si>
  <si>
    <t>SE</t>
  </si>
  <si>
    <t>T-stat</t>
  </si>
  <si>
    <t>MNL</t>
  </si>
  <si>
    <t>Panel A. Coefficients</t>
  </si>
  <si>
    <t>Std.err.</t>
  </si>
  <si>
    <t>t-ratio(0)</t>
  </si>
  <si>
    <t>Rob.std.err.</t>
  </si>
  <si>
    <t>Rob.t-ratio(0)</t>
  </si>
  <si>
    <t>ASC: disponsable e-cigartte</t>
  </si>
  <si>
    <t>asc_disp_mu</t>
  </si>
  <si>
    <t>ASC: re-usable e-cigarette</t>
  </si>
  <si>
    <t>asc_rech_mu</t>
  </si>
  <si>
    <t>ASC: conventional cigarette</t>
  </si>
  <si>
    <t>asc_cig_mu</t>
  </si>
  <si>
    <t>Price in cents USD per unit (1 cig / 10 puff)</t>
  </si>
  <si>
    <t>bprice_mu</t>
  </si>
  <si>
    <t>Secondhand smoke: mildly harmful</t>
  </si>
  <si>
    <t>bext1_mu</t>
  </si>
  <si>
    <t>Secondhand smoke: vey harmful</t>
  </si>
  <si>
    <t>bext2_mu</t>
  </si>
  <si>
    <t>Secondhand smoke: unknown harmful</t>
  </si>
  <si>
    <t>bext3_mu</t>
  </si>
  <si>
    <t>Harm: as harmful as conventional cigarette (1) vs less harmful (0)</t>
  </si>
  <si>
    <t>bharm_mu</t>
  </si>
  <si>
    <t>Hide: difficult to hide (smoke and odor)=1 vs easy to hide (no smoke, no odor)</t>
  </si>
  <si>
    <t>bhide_mu</t>
  </si>
  <si>
    <t>Flavor: menthol</t>
  </si>
  <si>
    <t>bFlavor1_mu</t>
  </si>
  <si>
    <t>Flavor: Furit or Candy</t>
  </si>
  <si>
    <t>bFlavor2_mu</t>
  </si>
  <si>
    <t>MMNL Design</t>
  </si>
  <si>
    <t>asc_disp_sig</t>
  </si>
  <si>
    <t>asc_rech_sig</t>
  </si>
  <si>
    <t>asc_cig_sig</t>
  </si>
  <si>
    <t>bprice_sig</t>
  </si>
  <si>
    <t>bext1_sig</t>
  </si>
  <si>
    <t>bext2_sig</t>
  </si>
  <si>
    <t>bext3_sig</t>
  </si>
  <si>
    <t>bharm_sig</t>
  </si>
  <si>
    <t>bhide_sig</t>
  </si>
  <si>
    <t>mu_arg</t>
  </si>
  <si>
    <t>mu_chi</t>
  </si>
  <si>
    <t>Panel B. Willingness-to-pay</t>
  </si>
  <si>
    <t>lambda_mu</t>
  </si>
  <si>
    <t>lambda_sig</t>
  </si>
  <si>
    <t>Mainly E-cig- dual</t>
  </si>
  <si>
    <t>Panel A. Willingness-to-pay for Argentina</t>
  </si>
  <si>
    <t>Coventional vs disposable e-cig</t>
  </si>
  <si>
    <t>Coventional vs rechargable e-cig</t>
  </si>
  <si>
    <t>Disposable vs rechargable e-cig</t>
  </si>
  <si>
    <t>Panel B. Willingness-to-pay for Chile</t>
  </si>
  <si>
    <t>Panel C. Willingness-to-pay for Colombia</t>
  </si>
  <si>
    <t>wtp_asc_disp_mu</t>
  </si>
  <si>
    <t>wtp_asc_disp_sig</t>
  </si>
  <si>
    <t>wtp_asc_rech_mu</t>
  </si>
  <si>
    <t>wtp_asc_rech_sig</t>
  </si>
  <si>
    <t>wtp_asc_cig_mu</t>
  </si>
  <si>
    <t>wtp_asc_cig_sig</t>
  </si>
  <si>
    <t>wtp_ext1_mu</t>
  </si>
  <si>
    <t>wtp_ext1_sig</t>
  </si>
  <si>
    <t>wtp_ext2_mu</t>
  </si>
  <si>
    <t>wtp_ext2_sig</t>
  </si>
  <si>
    <t>wtp_ext3_mu</t>
  </si>
  <si>
    <t>wtp_ext3_sig</t>
  </si>
  <si>
    <t>wtp_harm_mu</t>
  </si>
  <si>
    <t>wtp_harm_sig</t>
  </si>
  <si>
    <t>wtp_hide_mu</t>
  </si>
  <si>
    <t>wtp_hide_sig</t>
  </si>
  <si>
    <t>wtp_flavour1_mu</t>
  </si>
  <si>
    <t>wtp_flavour1_sig</t>
  </si>
  <si>
    <t>wtp_flavour2_mu</t>
  </si>
  <si>
    <t>wtp_flavour2_sig</t>
  </si>
  <si>
    <t>Diff Conventional vs Disposable</t>
  </si>
  <si>
    <t>Diff Conventional vs Rechargable</t>
  </si>
  <si>
    <t>Diff Disposable vs Rechargable</t>
  </si>
  <si>
    <t>Mainly E-cig-Exc</t>
  </si>
  <si>
    <t>Non-smokers</t>
  </si>
  <si>
    <t xml:space="preserve">No corrío </t>
  </si>
  <si>
    <t>No corrío (n = 232)</t>
  </si>
  <si>
    <t>Extract of the main table to be used for constructing the main graphs</t>
  </si>
  <si>
    <t>Mu</t>
  </si>
  <si>
    <t xml:space="preserve">Mu </t>
  </si>
  <si>
    <t>sigma</t>
  </si>
  <si>
    <t>Graph</t>
  </si>
  <si>
    <t>Category</t>
  </si>
  <si>
    <t>Traditional smokers</t>
  </si>
  <si>
    <t>ENDS users- exc</t>
  </si>
  <si>
    <t xml:space="preserve">ENDS users- dual </t>
  </si>
  <si>
    <t>For R code</t>
  </si>
  <si>
    <t>Disp e-cigartte</t>
  </si>
  <si>
    <t>Rech e-cigarette</t>
  </si>
  <si>
    <t>Conventional cigarette</t>
  </si>
  <si>
    <t>Mildly harmful</t>
  </si>
  <si>
    <t>Very harmful</t>
  </si>
  <si>
    <t>Unknown harmful</t>
  </si>
  <si>
    <t>Menthol</t>
  </si>
  <si>
    <t>Fruit or Candy</t>
  </si>
  <si>
    <t>con vs disp</t>
  </si>
  <si>
    <t>con vs rech</t>
  </si>
  <si>
    <t>disp vs rech</t>
  </si>
  <si>
    <t>Argentina</t>
  </si>
  <si>
    <t>Chile</t>
  </si>
  <si>
    <t>Colombia</t>
  </si>
  <si>
    <t>18-25</t>
  </si>
  <si>
    <t>26-64</t>
  </si>
  <si>
    <t>Panel A. Willingness-to-pay for 18-25</t>
  </si>
  <si>
    <t>Panel B. Willingness-to-pay for 26-64</t>
  </si>
  <si>
    <t>Panel A. Willingness-to-pay for Woman</t>
  </si>
  <si>
    <t>Panel B. Willingness-to-pay for Man</t>
  </si>
  <si>
    <t>Woman</t>
  </si>
  <si>
    <t>Man</t>
  </si>
  <si>
    <t>-0.284018604650239, -0.359061731869329, -54.7330871178434, 5.42628084049087, 7.57918974123273, 6.01442065266234, 4.73611276998701, 1.56199479086, -1.50724459746174, -1.83457550199286</t>
  </si>
  <si>
    <t>-7.22, -29.3386, 13.9394, 1.4774, 14.7718, 9.8592, 11.723, 3.5822, -10.3736, -9.273</t>
  </si>
  <si>
    <t>-12.9706948486194, -17.9137171346565, -26.3051944262158, 1.39620955663625, 5.47282983218686, 3.30443275331792, 2.44750274824454, 0.427063933399133, -1.41378537195885, -1.66782615655982</t>
  </si>
  <si>
    <t>-19.4850123751347, -29.1229094838281, -29.7445310888168, 11.7953555971751, 24.2220657722924, 13.777282307286, 12.0218140803301, 2.99464178537332, -2.15769087071376, -3.40706808261604</t>
  </si>
  <si>
    <t>1.16968751620523, 1.69509062565129, 2.36906349944538, 0.444383240799028, 0.617509289698842, 0.528695041838164, 0.432535426629689, 0.359049561822226, 0.35981220770809, 0.365844055107105</t>
  </si>
  <si>
    <t>24.2774002638299, 35.0217059207632, 36.6084915026449, -2.45708995813618, 8.34900640307237, 2.05665935691602, 5.54327645036427, 0.927051742443414, 5.2778546500144, -9.2708670793003</t>
  </si>
  <si>
    <t>39.1748, 47.8272, 45.5472, 5.6262, 9.726, 17.2504, -10.0988, 5.597, -11.94, 18.125</t>
  </si>
  <si>
    <t>11.4175407175963, 15.3365626464883, -13.8669296446658, 0.387311699424014, 5.84801424289045, 5.24574458450019, -4.87629888282094, -3.4560270345905, 4.14974415590277, 5.22007672279517</t>
  </si>
  <si>
    <t>-56.8969450274998, 61.0136446087724, 53.7126779913724, -3.10321538233686, -19.717468762837, 2.26915281134417, 15.4929865317155, -8.02980252560883, -1.9092108396275, -6.58884101820264</t>
  </si>
  <si>
    <t>1.07890846782321, 1.11404354103527, 5.38462964597645, 0.844350745748173, 1.02057420283281, 0.8714511154634, 0.724914425461319, 0.512736504348169, 0.493456657889419, 0.521089510088924</t>
  </si>
  <si>
    <t>4.844, 21.178, 18.564, 2.318, 11.054, 7.728, 8.548, 3.19, 8.194, 7.118</t>
  </si>
  <si>
    <t>3.73267694772084, 6.00555563915702, 6.25140025210554, 2.63490328362125, 5.08256352251107, 2.99316925377097, 2.65540643559261, 0.918561299011328, 0.759934775874228, 0.965446997771048</t>
  </si>
  <si>
    <t>4.97305946705424, 1.11136294558798, -58.1574443699625, 4.35108584818553, 6.67931605317353, 7.97526671528663, 3.44735640522221, -0.450311817834246, -1.37090068327253, -0.559333213670319</t>
  </si>
  <si>
    <t>0, 0, 0, 0, 0, 0, 0, 0, 0, 0</t>
  </si>
  <si>
    <t>-13.0719094287349, -17.5692350839984, -30.2078512719996, 3.1012986154799, 4.90758793228425, 3.89619716726816, 1.87774244454422, 0.292437318066174, -2.53105051218161, -1.12837660806039</t>
  </si>
  <si>
    <t>-34.6804726233814, -29.163777436765, -52.6962844799152, 12.8597263651325, 25.6716955924567, 14.1330684943282, 12.9373110552782, 4.49383564540033, -3.56285697815816, -6.21942569818947</t>
  </si>
  <si>
    <t>3.10197086818805, 2.49993267690397, 13.481263421046, 1.93573521050248, 2.17924016867408, 2.29874387978454, 1.54371926651585, 1.11703174304831, 1.40690206624244, 1.15738056920726</t>
  </si>
  <si>
    <t>2.21300050748042, 3.06277317851063, 5.03360797771384, 0.976513404236151, 1.19144762260979, 0.963057614166005, 0.705837290721284, 0.743479374071213, 0.736115509166687, 0.738975657534327</t>
  </si>
  <si>
    <t>14.9337872983648, 12.7220193459974, 22.4681269010031, 6.10912065974388, 11.3277598220717, 6.40182175946216, 6.06692726081316, 2.4848394846195, 2.10439096266332, 3.08812439274512</t>
  </si>
  <si>
    <t>-34.5394082608679, -38.8361078858509, -42.4743170339092, -7.94050559091825, -8.19477686836936, 5.43525490896704, -6.32270207149842, 2.12299549648494, 14.4610448602601, 18.281497984692</t>
  </si>
  <si>
    <t>-13.4297187128579, 16.8670567992996, 16.4569699036693, -2.25854501001175, 6.61436790414093, 1.61892713126285, -3.82872829519259, 6.23788747523229, -7.12716122679326, -8.14851562985396</t>
  </si>
  <si>
    <t>-68.5076643918732, -71.5134886999559, 36.3432745489448, -5.66508762631721, -27.621877933403, -0.351886389781397, -17.1963105906011, 13.7335668948957, 5.16314988583628, -11.8173732844501</t>
  </si>
  <si>
    <t>-7.38781659637192, 1.18730462372292, -91.1361976323764, 12.2837748990899, 16.0121850592391, 15.1950869187277, 7.37890691354765, 6.27486621894112, -6.32861093813406, -9.26569045947997</t>
  </si>
  <si>
    <t>2.75151970860207, -166.857862463092, 10.7743554603101, -1.22851227862829, 91.7764274573767, 77.9604642013983, 83.5765399691291, 50.0400314707733, -41.4910302686893, -34.0549408293971</t>
  </si>
  <si>
    <t>-16.6509647689175, -23.6094094548931, -43.138938843329, 2.61106556450155, 10.2754378138462, 4.51309051208735, 3.02221135807323, 1.32841053293405, -3.02956984781697, -4.5846765256299</t>
  </si>
  <si>
    <t>-13.9210382525646, -19.6475749418212, -22.6363135466699, 12.1757091693018, 22.1797333824811, 14.435520495077, 10.6998147966194, 0.46074528303419, -2.10751477687571, -3.25057160926604</t>
  </si>
  <si>
    <t>3.19078864777129, 3.24520093940779, 28.900978095736, 4.55301652520161, 5.64824388974238, 5.41552007278802, 2.65651743382352, 2.51611085620356, 2.42788519473299, 3.42298048776244</t>
  </si>
  <si>
    <t>91.6839874109482, 3689.97074439874, 360.691136386212, 96.4465185419338, 2065.08500859322, 1757.26671289056, 1895.5920417364, 1100.82391773881, 901.970653007875, 723.992270627597</t>
  </si>
  <si>
    <t>4.13688901005488, 6.20474060814208, 11.0537567926503, 1.40086440289978, 2.91659185755473, 1.86859298216163, 1.29780917874419, 1.03463173595492, 1.26243923830178, 1.53998920875058</t>
  </si>
  <si>
    <t>4.53330909608662, 7.08905599306987, 9.35212516260518, 4.7371940554228, 8.01573269752858, 5.31734489689445, 3.96594485180197, 0.861793824800136, 1.40097645487928, 1.59904266073872</t>
  </si>
  <si>
    <t>40.9239394628955, -59.1264977071878, -69.137167313298, -0.10266893607245, -15.1406291184411, 8.88071931592257, 3.50356156921676, 5.7758903224479, -12.0991880003843, -18.5896714565632</t>
  </si>
  <si>
    <t>-198.188989373733, 272.753415909946, 232.739864951461, 15.8808534916369, -9.02008669834925, -75.435261252003, -63.7149266222818, 77.3387206727655, 48.5702780325487, -80.3671050899053</t>
  </si>
  <si>
    <t>-15.949734427128, -25.613846383392, 24.0347280307181, 1.9751560222693, -5.66350907245993, -7.95281479586525, 9.43734188258002, -4.32846483493792, -5.02199458570124, 7.58226033347127</t>
  </si>
  <si>
    <t>50.4284446656205, 47.7344975822782, -51.190845571048, -3.10718623039626, -17.4478932630223, -5.34149231985398, -13.0657483961896, -4.60843610232317, 2.73204617334919, -9.0664279360666</t>
  </si>
  <si>
    <t>-0.708014868814254, 0.253517215122076, -34.6301643138397, 7.82399655052804, 2.82499515148775, 4.89676850694911, 3.04312131947671, 0.594426418182977, -0.475234734868596, -0.815724502058649</t>
  </si>
  <si>
    <t>-61.4557327176114, -99.7170933569973, 45.3052822848963, 9.5872597419689, 65.2549859185803, 20.6413452714409, 29.2717015738835, 3.70820294648469, -22.6362269093953, -11.1757619711798</t>
  </si>
  <si>
    <t>-38.6879317032741, -47.496851125256, -48.3659109623532, 2.25506121667223, 6.24165288987871, 4.75843946607999, -2.11563674639159, 3.33911876386532, 2.68475445818545, 0.764347546516625</t>
  </si>
  <si>
    <t>-18.0786900997702, -18.0267745046034, 10.0137431799749, 0.801288895773471, 1.17076747169112, 0.988433161155691, 8.10072380121637, 3.06925332829977, -2.14722570508156, 0.500805765371401</t>
  </si>
  <si>
    <t>1.7505077540935, 1.51148389306896, 5.35147264537724, 1.44649383810023, 1.27762250159372, 1.30811121116214, 1.12308518483156, 0.790799989943137, 0.672281414878168, 0.790799989943137</t>
  </si>
  <si>
    <t>156.49770186765, 259.822007728122, 175.232387149272, 28.6742864086393, 170.387555775469, 56.9456952140464, 80.0345538014699, 12.0699682262972, 56.0994967581335, 12.0699682262972</t>
  </si>
  <si>
    <t>8.37690248597826, 9.95728096453395, 10.0137431799749, 0.801288895773471, 1.17076747169112, 0.988433161155691, 0.775955590605363, 0.500805765371401, 0.578716328667068, 0.500805765371401</t>
  </si>
  <si>
    <t>4.75561230635446, 4.95291481042838, 4.78416344702061, 3.40884658833426, 6.01110990687557, 4.05424447338005, 2.54062597634581, 1.24171330161919, 0.9991647483663, 1.24171330161919</t>
  </si>
  <si>
    <t>-26.481907405883, 23.414487095864, 10.2479549996006, 8.14100406182076, 10.1044833124714, 3.25257621977239, -8.58842449270517, -6.54857212059505, -1.80281744817259, -3.29659138367357</t>
  </si>
  <si>
    <t>-87.9731428662335, 121.570714891936, 228.511121628136, 11.448860106045, -26.7591662887215, -33.5248077552649, -30.1703480702447, 13.0214901261812, -16.0061975191258, -51.5139241671721</t>
  </si>
  <si>
    <t>-13.3824146547806, -5.16301141212525, -23.8896467584706, -2.55340521042456, -7.62019749038298, -2.11563674639159, 2.68475445818545, 1.10569338762576, -0.724179078593528, -3.41041900828749</t>
  </si>
  <si>
    <t>-40.0606364476132, -49.6915578225361, 39.717325073878, 2.5251420094691, 15.4377878597994, 4.32218966811608, 13.4710513729353, -6.71829894807029, 2.28933510286167, 3.87522653853034</t>
  </si>
  <si>
    <t>-0.343481046803741, 2.62235039668198, -54.5904833803419, 5.99902156684161, 6.75872504685144, 6.31366957051404, 3.80881344259453, 0.942186632764606, 0.00593607276930683, 0.829575318691231</t>
  </si>
  <si>
    <t>No corrío (n = 232), 0, 0, 0, 0, 0, 0, 0, 0, 0</t>
  </si>
  <si>
    <t>-14.4817904665056, -20.4981632582736, -31.2801196307919, 1.29819686593095, 5.56904666899233, 3.51674933884077, 2.8356227911218, 0.393368592917362, -0.620429202460959, -0.151398126925698</t>
  </si>
  <si>
    <t>1.33941856611952, 1.69445543998915, 6.8127239746844, 1.12978077206048, 1.20194310055725, 1.14596283386978, 0.837397577340144, 0.62654186441653, 0.591415880748587, 0.594011821383828</t>
  </si>
  <si>
    <t xml:space="preserve">0, , , , , , , , , </t>
  </si>
  <si>
    <t>1.83631017847553, 2.56797460682362, 3.90143684411291, 0.642879841967268, 0.988920656107322, 0.716966425954309, 0.608269070285576, 0.446637871937746, 0.466677666209529, 0.449034046979321</t>
  </si>
  <si>
    <t>22.0459977221046, 33.2422552623445, 34.447527499582, 3.64058007842879, 8.00323150546381, -1.93654334108353, 5.02537970209665, 0.0986529815902948, -5.80722817225859, -8.7055324865389</t>
  </si>
  <si>
    <t>-11.2419644156642, 16.4111313554758, 13.2347771108993, -3.50816455485078, -7.02686866187769, 4.10565507478182, -4.68923915249049, 2.64239007254313, 3.47480883769923, -4.34924969251387</t>
  </si>
  <si>
    <t>-6.44708867106307, -3.98652442726932, -42.3496055468139, 4.92060857342081, 5.38202473186996, 6.96207404532161, 6.16178290045903, 2.27064495188725, -3.3514910515862, -7.16578702579454</t>
  </si>
  <si>
    <t>-12.4795461936182, -15.1300198041693, -23.8127215839939, 1.91317426330498, 5.26529976269145, 3.22629073329648, 2.100392128781, 0.87105279868963, -2.39906987621858, -3.39484798298336</t>
  </si>
  <si>
    <t>1.82245336685058, 2.02045379971638, 9.06167093575288, 1.74548850267236, 1.98309691235137, 1.82697020226823, 1.60962687325653, 1.14863796226826, 1.1013628939985, 1.57460618040255</t>
  </si>
  <si>
    <t>1.77971352647649, 2.21027795843026, 3.36769451047088, 0.692752475019168, 0.959409929424454, 0.762738671925281, 0.553738488866484, 0.534631592048978, 0.614578097687836, 0.697423204103432</t>
  </si>
  <si>
    <t>-19.7622465766796, -31.9737354656102, -2.44487316706552, -7.63582912733986, 13.4229803619121, -0.769860889812069, 8.54513248651111, 7.33704228660296, 6.88844448892098, 11.1427569252978</t>
  </si>
  <si>
    <t>-12.3459302188033, -15.742552497517, 12.3390152600031, 1.76738362299194, 6.23798074347138, 4.68978134362208, -3.10368165285632, 3.19499185467673, -4.59413186435501, -5.9060879537798</t>
  </si>
  <si>
    <t>-1.57376536627553, -1.62487969261922, -59.6747989175575, 6.79727970607292, 8.26038784023568, 7.84638856654869, 5.47439613428213, 1.67016488068368, -2.81185833102677, -4.8931078392412</t>
  </si>
  <si>
    <t>-86.7871703820592, -99.1933916310151, 213.708307065509, 31.5048701855647, 45.7007376342333, 34.7892560740359, 40.5896124547529, 18.589480440292, -21.6602558740444, -30.9132851202983</t>
  </si>
  <si>
    <t>-16.5881289843545, -21.0140563908302, -32.5419435587023, 2.64705917259947, 6.7742177064421, 4.63321273463141, 3.50124789821279, 0.430533752371369, -2.8353343478384, -3.5380159679029</t>
  </si>
  <si>
    <t>-30.5667013810772, -19.1406810972475, -18.2103589797456, 11.3049242325169, 23.3028882213685, 12.6228453358724, 9.73372661801521, 3.01870759726056, -1.72445414606745, -1.68811135876128</t>
  </si>
  <si>
    <t>1.76976316862946, 1.68906764826591, 10.6592185710275, 1.54966626213342, 1.86137005655816, 1.74038354981679, 1.21552564027006, 0.807096747641009, 0.940682280093955, 1.25431135217306</t>
  </si>
  <si>
    <t>156.962454992736, 181.806096380606, 393.697251187664, 57.9141483571295, 83.5595702602629, 63.9928853833242, 75.119206372619, 36.2373891061845, 39.721927392045, 58.3901526873002</t>
  </si>
  <si>
    <t>2.16349194311274, 2.84323593150132, 4.22836606824876, 0.749421956274442, 1.11657608384691, 0.873066950298281, 0.681635010261013, 0.554918308207686, 0.614399671576252, 0.681641056898271</t>
  </si>
  <si>
    <t>6.87430633769376, 4.53317031477887, 4.92731387094942, 2.81987867545904, 5.68195382569101, 3.15719635322466, 2.45015874340201, 0.993303749161422, 0.840038280373781, 0.821618000647508</t>
  </si>
  <si>
    <t>-31.1366098249355, 36.9104925345926, -43.1612135304064, -3.69661677769804, 11.8950100677843, -2.61866701991235, -3.71887145548082, 2.47120799326889, -8.41164404208508, -13.7753242838401</t>
  </si>
  <si>
    <t>141.669315908665, 136.974023285458, 319.035882103593, -39.9116700652117, -50.7157924297772, -14.6950999941539, 19.1392649174058, 42.0830965048917, 6.68230695186547, -59.2571308276935</t>
  </si>
  <si>
    <t>-15.548649344429, -17.8061906361364, 12.9550816967818, -2.89520427222273, 7.71705519691524, -5.36323358648942, -4.41345578889145, 4.63978713267346, 5.02547827806513, -6.54856542178076</t>
  </si>
  <si>
    <t>55.8380066837449, -51.7614885637603, -85.1160457615076, 1.16711781310555, 10.833952875281, 1.82044899062083, -11.8683059208726, -5.88697841577366, -2.616244174326, -4.63334596042787</t>
  </si>
  <si>
    <t>1.1066426397542, -4.08695883879956, -54.1450062142984, 5.12756149093065, 6.07877147032616, 4.56617914454923, 3.42885741439761, 2.79020144933454, 0.276377899037586, 2.71900501514572</t>
  </si>
  <si>
    <t>-11.7929388759247, -18.5706057756595, -26.4620462032979, 0.936143422160517, 5.02686629081377, 2.81234112243654, 2.13176098838015, 1.04983660346155, 0.471730578705108, 0.0658273736814684</t>
  </si>
  <si>
    <t>-19.80478604446, -35.9161338655641, -0.689229370173456, 11.0668096981927, 22.7312401984483, 14.8072870868653, 11.617779303351, 2.55881723482646, -0.493574290849677, -3.71016104799553</t>
  </si>
  <si>
    <t>1.93874998877628, 1.66152753563708, 8.31404164065802, 1.2276361979102, 1.38564273069078, 1.19163099183611, 1.05753420666372, 1.02235465200984, 0.686494192701484, 0.799731481366041</t>
  </si>
  <si>
    <t>1.62125632990647, 2.47010100375128, 3.49331414968906, 0.733704631196419, 0.80037124200366, 0.679892243630576, 0.641950991648366, 0.577578992153379, 0.517302903970467, 0.454991704457266</t>
  </si>
  <si>
    <t>6.25601220700794, 12.2427935418234, 5.9435701085925, 4.43392384680398, 8.16313293026298, 5.43394099750895, 4.29747864318828, 1.42849611382494, 1.39145927169137, 1.74527633620123</t>
  </si>
  <si>
    <t>-25.9740328672092, 27.981764422496, 29.6274715634857, -0.307795633576577, -5.39437735771201, -3.29415405821128, 5.3829267204191, -3.47772594561232, 5.09491451546195, -6.51932774288872</t>
  </si>
  <si>
    <t>8.69172174084335, -14.5208310012653, 16.6337151791378, 4.72238026196565, 3.1789534413078, -2.06810201561458, -4.41207925479439, 3.96986381622137, 3.5187279855096, 3.99612056682421</t>
  </si>
  <si>
    <t>-66.1913695954007, -82.7696348015185, -107.045203935973, -1.14130651428088, 20.1929954034685, 3.34537285015122, 12.3666281119329, 5.61799829233551, 6.15190298719424, 6.43993957997777</t>
  </si>
  <si>
    <t xml:space="preserve">Tabla 1 </t>
  </si>
  <si>
    <t>MNL base</t>
  </si>
  <si>
    <t>Tabla 2</t>
  </si>
  <si>
    <t xml:space="preserve">WTP Mixed logit - desing </t>
  </si>
  <si>
    <t>Convencionales</t>
  </si>
  <si>
    <t>Vapeadores exclusivos</t>
  </si>
  <si>
    <t>Vapeadores duales</t>
  </si>
  <si>
    <t>No fumadores</t>
  </si>
  <si>
    <t>DCEe_03b_estimacionMMNL_WTP_sinInt</t>
  </si>
  <si>
    <t>Table 3</t>
  </si>
  <si>
    <t>WTP</t>
  </si>
  <si>
    <t>x pais</t>
  </si>
  <si>
    <t>DCEe_03b_estimacionMMNL_WTP_sinInt_pool</t>
  </si>
  <si>
    <t>Table 4</t>
  </si>
  <si>
    <t>Por edad</t>
  </si>
  <si>
    <t>DCEe_03b_estimacionMMNL_WTP_sinInt_pool_gender</t>
  </si>
  <si>
    <t>Table 5</t>
  </si>
  <si>
    <t>por genero</t>
  </si>
  <si>
    <t>bflavour2</t>
  </si>
  <si>
    <t>bflavour1</t>
  </si>
  <si>
    <t>bhide</t>
  </si>
  <si>
    <t>bharm</t>
  </si>
  <si>
    <t>bext3</t>
  </si>
  <si>
    <t>bext2</t>
  </si>
  <si>
    <t>bext1</t>
  </si>
  <si>
    <t>bprice</t>
  </si>
  <si>
    <t>asc_cig</t>
  </si>
  <si>
    <t>asc_rech</t>
  </si>
  <si>
    <t>asc_disp</t>
  </si>
  <si>
    <t>Resultados con restricción de población que respondió el experimento en más de 90 segundos</t>
  </si>
  <si>
    <t>bflavour1_mu</t>
  </si>
  <si>
    <t>bflavour1_sig</t>
  </si>
  <si>
    <t>bflavour2_mu</t>
  </si>
  <si>
    <t>bflavour2_sig</t>
  </si>
  <si>
    <t>all smokers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</si>
</sst>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1"/>
      <color theme="1"/>
      <name val="Aptos Narrow"/>
      <scheme val="minor"/>
    </font>
    <font>
      <i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 applyAlignment="1">
      <alignment vertical="center"/>
    </xf>
    <xf numFmtId="164" fontId="0" fillId="0" borderId="0" xfId="0" applyNumberFormat="1"/>
    <xf numFmtId="0" fontId="2" fillId="2" borderId="0" xfId="0" applyFont="1" applyFill="1"/>
    <xf numFmtId="0" fontId="1" fillId="2" borderId="0" xfId="0" applyFont="1" applyFill="1"/>
    <xf numFmtId="0" fontId="6" fillId="0" borderId="0" xfId="0" applyFont="1"/>
    <xf numFmtId="0" fontId="0" fillId="3" borderId="0" xfId="0" applyFill="1"/>
    <xf numFmtId="0" fontId="0" fillId="4" borderId="0" xfId="0" applyFill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7" fillId="0" borderId="0" xfId="0" applyFont="1"/>
    <xf numFmtId="0" fontId="3" fillId="0" borderId="1" xfId="0" applyFont="1" applyBorder="1" applyAlignment="1">
      <alignment vertical="center"/>
    </xf>
    <xf numFmtId="165" fontId="0" fillId="0" borderId="0" xfId="0" applyNumberFormat="1"/>
    <xf numFmtId="0" fontId="0" fillId="0" borderId="6" xfId="0" applyBorder="1"/>
    <xf numFmtId="165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2" fillId="0" borderId="2" xfId="0" applyFont="1" applyBorder="1"/>
    <xf numFmtId="165" fontId="0" fillId="0" borderId="5" xfId="0" applyNumberFormat="1" applyBorder="1"/>
    <xf numFmtId="0" fontId="0" fillId="5" borderId="0" xfId="0" applyFill="1"/>
    <xf numFmtId="0" fontId="0" fillId="6" borderId="0" xfId="0" applyFill="1"/>
    <xf numFmtId="0" fontId="0" fillId="6" borderId="5" xfId="0" applyFill="1" applyBorder="1"/>
    <xf numFmtId="0" fontId="0" fillId="7" borderId="0" xfId="0" applyFill="1"/>
    <xf numFmtId="0" fontId="0" fillId="7" borderId="5" xfId="0" applyFill="1" applyBorder="1"/>
    <xf numFmtId="0" fontId="0" fillId="4" borderId="5" xfId="0" applyFill="1" applyBorder="1"/>
    <xf numFmtId="0" fontId="0" fillId="8" borderId="0" xfId="0" applyFill="1"/>
    <xf numFmtId="0" fontId="0" fillId="9" borderId="0" xfId="0" applyFill="1"/>
    <xf numFmtId="0" fontId="8" fillId="0" borderId="0" xfId="0" applyFont="1"/>
    <xf numFmtId="0" fontId="9" fillId="0" borderId="0" xfId="0" applyFont="1"/>
    <xf numFmtId="0" fontId="9" fillId="6" borderId="0" xfId="0" applyFont="1" applyFill="1"/>
    <xf numFmtId="0" fontId="10" fillId="0" borderId="0" xfId="0" applyFon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5023-FA9D-4A3D-809E-4A4856D7315B}">
  <dimension ref="A1:K24"/>
  <sheetViews>
    <sheetView zoomScale="70" workbookViewId="0"/>
  </sheetViews>
  <sheetFormatPr defaultColWidth="11.42578125" defaultRowHeight="15" x14ac:dyDescent="0.25"/>
  <cols>
    <col min="1" max="1" width="49.28515625" customWidth="1"/>
    <col min="2" max="2" width="43.7109375" customWidth="1"/>
  </cols>
  <sheetData>
    <row r="1" spans="1:11" ht="21" x14ac:dyDescent="0.35">
      <c r="A1" s="37" t="s">
        <v>226</v>
      </c>
      <c r="B1" s="34"/>
      <c r="C1" s="34"/>
      <c r="D1" s="34"/>
      <c r="E1" s="34"/>
      <c r="F1" s="34"/>
      <c r="G1" s="34"/>
      <c r="H1" s="34"/>
      <c r="I1" s="34"/>
      <c r="J1" s="34"/>
    </row>
    <row r="2" spans="1:11" ht="15.75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15.75" x14ac:dyDescent="0.25">
      <c r="A3" s="34"/>
      <c r="B3" s="35" t="s">
        <v>197</v>
      </c>
      <c r="C3" s="34" t="s">
        <v>198</v>
      </c>
      <c r="D3" s="34"/>
      <c r="E3" s="34"/>
      <c r="F3" s="34"/>
      <c r="G3" s="34"/>
      <c r="H3" s="34"/>
      <c r="I3" s="34"/>
      <c r="J3" s="34"/>
      <c r="K3" s="34"/>
    </row>
    <row r="4" spans="1:11" ht="15.75" x14ac:dyDescent="0.25">
      <c r="A4" s="34"/>
      <c r="B4" s="35"/>
      <c r="C4" s="34"/>
      <c r="D4" s="34"/>
      <c r="E4" s="34"/>
      <c r="F4" s="34"/>
      <c r="G4" s="34"/>
      <c r="H4" s="34"/>
      <c r="I4" s="34"/>
      <c r="J4" s="34"/>
      <c r="K4" s="34"/>
    </row>
    <row r="5" spans="1:11" ht="15.75" x14ac:dyDescent="0.25">
      <c r="A5" s="34"/>
      <c r="B5" s="35" t="s">
        <v>199</v>
      </c>
      <c r="C5" s="34" t="s">
        <v>200</v>
      </c>
      <c r="D5" s="34"/>
      <c r="E5" s="34"/>
      <c r="F5" s="34"/>
      <c r="G5" s="34"/>
      <c r="H5" s="34"/>
      <c r="I5" s="34"/>
      <c r="J5" s="34"/>
      <c r="K5" s="34"/>
    </row>
    <row r="6" spans="1:11" ht="15.75" x14ac:dyDescent="0.25">
      <c r="A6" s="34"/>
      <c r="B6" s="35"/>
      <c r="C6" s="34" t="s">
        <v>201</v>
      </c>
      <c r="D6" s="34"/>
      <c r="E6" s="34" t="s">
        <v>202</v>
      </c>
      <c r="F6" s="34"/>
      <c r="G6" s="34"/>
      <c r="H6" s="34" t="s">
        <v>203</v>
      </c>
      <c r="I6" s="34"/>
      <c r="J6" s="34" t="s">
        <v>204</v>
      </c>
      <c r="K6" s="34"/>
    </row>
    <row r="7" spans="1:11" ht="15.75" x14ac:dyDescent="0.25">
      <c r="A7" s="34"/>
      <c r="B7" s="35"/>
      <c r="C7" s="34"/>
      <c r="D7" s="34"/>
      <c r="E7" s="34"/>
      <c r="F7" s="34"/>
      <c r="G7" s="34"/>
      <c r="H7" s="34"/>
      <c r="I7" s="34"/>
      <c r="J7" s="34"/>
      <c r="K7" s="34"/>
    </row>
    <row r="8" spans="1:11" ht="15.75" x14ac:dyDescent="0.25">
      <c r="A8" s="34"/>
      <c r="B8" s="35"/>
      <c r="C8" s="34"/>
      <c r="D8" s="34"/>
      <c r="E8" s="34"/>
      <c r="F8" s="34"/>
      <c r="G8" s="34"/>
      <c r="H8" s="34"/>
      <c r="I8" s="34"/>
      <c r="J8" s="34"/>
      <c r="K8" s="34"/>
    </row>
    <row r="9" spans="1:11" ht="15.75" x14ac:dyDescent="0.25">
      <c r="A9" s="34" t="s">
        <v>205</v>
      </c>
      <c r="B9" s="35" t="s">
        <v>206</v>
      </c>
      <c r="C9" s="34" t="s">
        <v>201</v>
      </c>
      <c r="D9" s="34"/>
      <c r="E9" s="34" t="s">
        <v>202</v>
      </c>
      <c r="F9" s="34"/>
      <c r="G9" s="34"/>
      <c r="H9" s="34" t="s">
        <v>203</v>
      </c>
      <c r="I9" s="34"/>
      <c r="J9" s="34" t="s">
        <v>204</v>
      </c>
      <c r="K9" s="34"/>
    </row>
    <row r="10" spans="1:11" ht="15.75" x14ac:dyDescent="0.25">
      <c r="A10" s="34"/>
      <c r="B10" s="35" t="s">
        <v>207</v>
      </c>
      <c r="C10" s="36" t="s">
        <v>208</v>
      </c>
      <c r="D10" s="34"/>
      <c r="E10" s="34"/>
      <c r="F10" s="34"/>
      <c r="G10" s="34"/>
      <c r="H10" s="34"/>
      <c r="I10" s="34"/>
      <c r="J10" s="34"/>
      <c r="K10" s="34"/>
    </row>
    <row r="11" spans="1:11" ht="15.75" x14ac:dyDescent="0.25">
      <c r="A11" s="34"/>
      <c r="B11" s="35"/>
      <c r="C11" s="34"/>
      <c r="D11" s="34"/>
      <c r="E11" s="34"/>
      <c r="F11" s="34"/>
      <c r="G11" s="34"/>
      <c r="H11" s="34"/>
      <c r="I11" s="34"/>
      <c r="J11" s="34"/>
      <c r="K11" s="34"/>
    </row>
    <row r="12" spans="1:11" ht="15.75" x14ac:dyDescent="0.25">
      <c r="A12" s="34" t="s">
        <v>209</v>
      </c>
      <c r="B12" s="35" t="s">
        <v>210</v>
      </c>
      <c r="C12" s="34" t="s">
        <v>201</v>
      </c>
      <c r="D12" s="34"/>
      <c r="E12" s="34" t="s">
        <v>202</v>
      </c>
      <c r="F12" s="34"/>
      <c r="G12" s="34"/>
      <c r="H12" s="34" t="s">
        <v>203</v>
      </c>
      <c r="I12" s="34"/>
      <c r="J12" s="34" t="s">
        <v>204</v>
      </c>
      <c r="K12" s="34"/>
    </row>
    <row r="13" spans="1:11" ht="15.75" x14ac:dyDescent="0.25">
      <c r="A13" s="34"/>
      <c r="B13" s="35" t="s">
        <v>207</v>
      </c>
      <c r="C13" s="36" t="s">
        <v>211</v>
      </c>
      <c r="D13" s="34"/>
      <c r="E13" s="34"/>
      <c r="F13" s="34"/>
      <c r="G13" s="34"/>
      <c r="H13" s="34"/>
      <c r="I13" s="34"/>
      <c r="J13" s="34"/>
      <c r="K13" s="34"/>
    </row>
    <row r="14" spans="1:11" ht="15.75" x14ac:dyDescent="0.25">
      <c r="A14" s="34"/>
      <c r="B14" s="35"/>
      <c r="C14" s="34"/>
      <c r="D14" s="34"/>
      <c r="E14" s="34"/>
      <c r="F14" s="34"/>
      <c r="G14" s="34"/>
      <c r="H14" s="34"/>
      <c r="I14" s="34"/>
      <c r="J14" s="34"/>
      <c r="K14" s="34"/>
    </row>
    <row r="15" spans="1:11" ht="15.75" x14ac:dyDescent="0.25">
      <c r="A15" s="34" t="s">
        <v>212</v>
      </c>
      <c r="B15" s="35" t="s">
        <v>213</v>
      </c>
      <c r="C15" s="34" t="s">
        <v>201</v>
      </c>
      <c r="D15" s="34"/>
      <c r="E15" s="34" t="s">
        <v>202</v>
      </c>
      <c r="F15" s="34"/>
      <c r="G15" s="34"/>
      <c r="H15" s="34" t="s">
        <v>203</v>
      </c>
      <c r="I15" s="34"/>
      <c r="J15" s="34" t="s">
        <v>204</v>
      </c>
      <c r="K15" s="34"/>
    </row>
    <row r="16" spans="1:11" ht="15.75" x14ac:dyDescent="0.25">
      <c r="A16" s="34"/>
      <c r="B16" s="35" t="s">
        <v>207</v>
      </c>
      <c r="C16" s="36" t="s">
        <v>214</v>
      </c>
      <c r="D16" s="34"/>
      <c r="E16" s="34"/>
      <c r="F16" s="34"/>
      <c r="G16" s="34"/>
      <c r="H16" s="34"/>
      <c r="I16" s="34"/>
      <c r="J16" s="34"/>
      <c r="K16" s="34"/>
    </row>
    <row r="17" spans="1:11" ht="15.75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spans="1:11" ht="15.75" x14ac:dyDescent="0.25">
      <c r="A18" s="34"/>
      <c r="B18" s="35"/>
      <c r="C18" s="34"/>
      <c r="D18" s="34"/>
      <c r="E18" s="34"/>
      <c r="F18" s="34"/>
      <c r="G18" s="34"/>
      <c r="H18" s="34"/>
      <c r="I18" s="34"/>
      <c r="J18" s="34"/>
      <c r="K18" s="34"/>
    </row>
    <row r="19" spans="1:11" ht="15.75" x14ac:dyDescent="0.25">
      <c r="A19" s="34"/>
      <c r="B19" s="35"/>
      <c r="C19" s="34"/>
      <c r="D19" s="34"/>
      <c r="E19" s="34"/>
      <c r="F19" s="34"/>
      <c r="G19" s="34"/>
      <c r="H19" s="34"/>
      <c r="I19" s="34"/>
      <c r="J19" s="34"/>
      <c r="K19" s="34"/>
    </row>
    <row r="20" spans="1:11" ht="15.75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 ht="15.75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</row>
    <row r="24" spans="1:11" x14ac:dyDescent="0.25">
      <c r="B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D2" sqref="D2:I13"/>
    </sheetView>
  </sheetViews>
  <sheetFormatPr defaultColWidth="9" defaultRowHeight="15" x14ac:dyDescent="0.25"/>
  <cols>
    <col min="2" max="2" width="75.42578125" customWidth="1"/>
    <col min="3" max="3" width="31.42578125" customWidth="1"/>
    <col min="6" max="6" width="19" customWidth="1"/>
    <col min="7" max="7" width="24.85546875" customWidth="1"/>
    <col min="8" max="8" width="27.42578125" customWidth="1"/>
  </cols>
  <sheetData>
    <row r="1" spans="1:9" x14ac:dyDescent="0.25">
      <c r="A1" s="3"/>
      <c r="B1" s="3" t="s">
        <v>7</v>
      </c>
      <c r="C1" s="3"/>
    </row>
    <row r="2" spans="1:9" x14ac:dyDescent="0.25">
      <c r="A2" s="2" t="s">
        <v>8</v>
      </c>
      <c r="C2" t="s">
        <v>3</v>
      </c>
      <c r="E2" t="s">
        <v>4</v>
      </c>
      <c r="F2" t="s">
        <v>9</v>
      </c>
      <c r="G2" t="s">
        <v>10</v>
      </c>
      <c r="H2" t="s">
        <v>11</v>
      </c>
      <c r="I2" t="s">
        <v>12</v>
      </c>
    </row>
    <row r="3" spans="1:9" x14ac:dyDescent="0.25">
      <c r="B3" s="4" t="s">
        <v>13</v>
      </c>
      <c r="C3" t="s">
        <v>14</v>
      </c>
      <c r="D3" t="s">
        <v>225</v>
      </c>
      <c r="E3">
        <v>0.69711461486903603</v>
      </c>
      <c r="F3">
        <v>3.9270967110402899E-2</v>
      </c>
      <c r="G3">
        <v>17.751399218390301</v>
      </c>
      <c r="H3">
        <v>6.4976470042289305E-2</v>
      </c>
      <c r="I3">
        <v>10.7287240198694</v>
      </c>
    </row>
    <row r="4" spans="1:9" x14ac:dyDescent="0.25">
      <c r="B4" s="4" t="s">
        <v>15</v>
      </c>
      <c r="C4" t="s">
        <v>16</v>
      </c>
      <c r="D4" t="s">
        <v>224</v>
      </c>
      <c r="E4">
        <v>1.1704203027090601</v>
      </c>
      <c r="F4">
        <v>3.6546543147623602E-2</v>
      </c>
      <c r="G4">
        <v>32.0254722308852</v>
      </c>
      <c r="H4">
        <v>6.17727411628037E-2</v>
      </c>
      <c r="I4">
        <v>18.947197107934599</v>
      </c>
    </row>
    <row r="5" spans="1:9" x14ac:dyDescent="0.25">
      <c r="B5" s="4" t="s">
        <v>17</v>
      </c>
      <c r="C5" t="s">
        <v>18</v>
      </c>
      <c r="D5" t="s">
        <v>223</v>
      </c>
      <c r="E5">
        <v>2.69928519924109</v>
      </c>
      <c r="F5">
        <v>8.5737258247582798E-2</v>
      </c>
      <c r="G5">
        <v>31.483222748345799</v>
      </c>
      <c r="H5">
        <v>9.9043608696256696E-2</v>
      </c>
      <c r="I5">
        <v>27.253502116619799</v>
      </c>
    </row>
    <row r="6" spans="1:9" x14ac:dyDescent="0.25">
      <c r="B6" t="s">
        <v>19</v>
      </c>
      <c r="C6" t="s">
        <v>20</v>
      </c>
      <c r="D6" t="s">
        <v>222</v>
      </c>
      <c r="E6">
        <v>-0.96176046206557597</v>
      </c>
      <c r="F6">
        <v>0.11472098408254899</v>
      </c>
      <c r="G6">
        <v>-8.3834746516254697</v>
      </c>
      <c r="H6">
        <v>8.6253830146286306E-2</v>
      </c>
      <c r="I6">
        <v>-11.1503507778661</v>
      </c>
    </row>
    <row r="7" spans="1:9" x14ac:dyDescent="0.25">
      <c r="B7" t="s">
        <v>21</v>
      </c>
      <c r="C7" t="s">
        <v>22</v>
      </c>
      <c r="D7" t="s">
        <v>221</v>
      </c>
      <c r="E7">
        <v>-0.15603019329253501</v>
      </c>
      <c r="F7">
        <v>3.0903063016893301E-2</v>
      </c>
      <c r="G7">
        <v>-5.0490203255010702</v>
      </c>
      <c r="H7">
        <v>3.27737231606368E-2</v>
      </c>
      <c r="I7">
        <v>-4.7608321010026797</v>
      </c>
    </row>
    <row r="8" spans="1:9" x14ac:dyDescent="0.25">
      <c r="B8" t="s">
        <v>23</v>
      </c>
      <c r="C8" t="s">
        <v>24</v>
      </c>
      <c r="D8" t="s">
        <v>220</v>
      </c>
      <c r="E8">
        <v>-0.446605312738028</v>
      </c>
      <c r="F8">
        <v>3.5877010172508002E-2</v>
      </c>
      <c r="G8">
        <v>-12.448231070276201</v>
      </c>
      <c r="H8">
        <v>3.4693798772244398E-2</v>
      </c>
      <c r="I8">
        <v>-12.8727705971282</v>
      </c>
    </row>
    <row r="9" spans="1:9" x14ac:dyDescent="0.25">
      <c r="B9" t="s">
        <v>25</v>
      </c>
      <c r="C9" t="s">
        <v>26</v>
      </c>
      <c r="D9" t="s">
        <v>219</v>
      </c>
      <c r="E9">
        <v>-0.27941847121764601</v>
      </c>
      <c r="F9">
        <v>3.3153643661637901E-2</v>
      </c>
      <c r="G9">
        <v>-8.4279868019744004</v>
      </c>
      <c r="H9">
        <v>2.9568033749749398E-2</v>
      </c>
      <c r="I9">
        <v>-9.4500186783645894</v>
      </c>
    </row>
    <row r="10" spans="1:9" x14ac:dyDescent="0.25">
      <c r="B10" t="s">
        <v>27</v>
      </c>
      <c r="C10" t="s">
        <v>28</v>
      </c>
      <c r="D10" t="s">
        <v>218</v>
      </c>
      <c r="E10">
        <v>-0.25006620049487499</v>
      </c>
      <c r="F10">
        <v>2.3491892900005099E-2</v>
      </c>
      <c r="G10">
        <v>-10.6447871850642</v>
      </c>
      <c r="H10">
        <v>2.19562156450477E-2</v>
      </c>
      <c r="I10">
        <v>-11.3893124633834</v>
      </c>
    </row>
    <row r="11" spans="1:9" x14ac:dyDescent="0.25">
      <c r="B11" t="s">
        <v>29</v>
      </c>
      <c r="C11" t="s">
        <v>30</v>
      </c>
      <c r="D11" t="s">
        <v>217</v>
      </c>
      <c r="E11">
        <v>-5.4077103013157102E-2</v>
      </c>
      <c r="F11">
        <v>2.3190075904086099E-2</v>
      </c>
      <c r="G11">
        <v>-2.33190711564807</v>
      </c>
      <c r="H11">
        <v>2.1981590493899899E-2</v>
      </c>
      <c r="I11">
        <v>-2.4601087454597099</v>
      </c>
    </row>
    <row r="12" spans="1:9" x14ac:dyDescent="0.25">
      <c r="B12" t="s">
        <v>31</v>
      </c>
      <c r="C12" t="s">
        <v>32</v>
      </c>
      <c r="D12" t="s">
        <v>216</v>
      </c>
      <c r="E12">
        <v>7.6568572278329E-2</v>
      </c>
      <c r="F12">
        <v>2.1923897209665699E-2</v>
      </c>
      <c r="G12">
        <v>3.4924708662003598</v>
      </c>
      <c r="H12">
        <v>2.9398516860053799E-2</v>
      </c>
      <c r="I12">
        <v>2.6045045960250102</v>
      </c>
    </row>
    <row r="13" spans="1:9" x14ac:dyDescent="0.25">
      <c r="B13" t="s">
        <v>33</v>
      </c>
      <c r="C13" t="s">
        <v>34</v>
      </c>
      <c r="D13" t="s">
        <v>215</v>
      </c>
      <c r="E13">
        <v>0.115250612682379</v>
      </c>
      <c r="F13">
        <v>2.0439220004845601E-2</v>
      </c>
      <c r="G13">
        <v>5.6386991604892902</v>
      </c>
      <c r="H13">
        <v>2.5251816593459198E-2</v>
      </c>
      <c r="I13">
        <v>4.5640523427622002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54EE-61BB-464D-8957-0F05F3CD96E4}">
  <dimension ref="A1:I26"/>
  <sheetViews>
    <sheetView workbookViewId="0">
      <selection activeCell="D3" sqref="D3"/>
    </sheetView>
  </sheetViews>
  <sheetFormatPr defaultRowHeight="15" x14ac:dyDescent="0.25"/>
  <cols>
    <col min="3" max="3" width="52.7109375" customWidth="1"/>
    <col min="4" max="4" width="22.85546875" customWidth="1"/>
  </cols>
  <sheetData>
    <row r="1" spans="1:9" x14ac:dyDescent="0.25">
      <c r="A1" s="3"/>
      <c r="B1" s="3" t="s">
        <v>35</v>
      </c>
      <c r="C1" s="3"/>
      <c r="F1" s="6" t="s">
        <v>231</v>
      </c>
      <c r="G1" s="7"/>
      <c r="H1" s="3"/>
      <c r="I1" s="3"/>
    </row>
    <row r="2" spans="1:9" x14ac:dyDescent="0.25">
      <c r="A2" s="2" t="s">
        <v>8</v>
      </c>
      <c r="D2" t="s">
        <v>3</v>
      </c>
      <c r="E2" t="s">
        <v>4</v>
      </c>
      <c r="F2" t="s">
        <v>5</v>
      </c>
      <c r="G2" t="s">
        <v>6</v>
      </c>
    </row>
    <row r="3" spans="1:9" x14ac:dyDescent="0.25">
      <c r="A3" s="4" t="s">
        <v>13</v>
      </c>
      <c r="D3" t="s">
        <v>14</v>
      </c>
      <c r="E3">
        <v>1.5869767113538269</v>
      </c>
      <c r="F3">
        <v>9.3645742881658375E-2</v>
      </c>
      <c r="G3">
        <v>16.946597490921871</v>
      </c>
    </row>
    <row r="4" spans="1:9" x14ac:dyDescent="0.25">
      <c r="D4" t="s">
        <v>36</v>
      </c>
      <c r="E4">
        <v>2.135540859777838</v>
      </c>
      <c r="F4">
        <v>0.10512525583701759</v>
      </c>
      <c r="G4">
        <v>20.314251249849072</v>
      </c>
    </row>
    <row r="5" spans="1:9" x14ac:dyDescent="0.25">
      <c r="A5" s="4" t="s">
        <v>15</v>
      </c>
      <c r="D5" t="s">
        <v>16</v>
      </c>
      <c r="E5">
        <v>2.1722368248804722</v>
      </c>
      <c r="F5">
        <v>0.1056335072870979</v>
      </c>
      <c r="G5">
        <v>20.563899473456079</v>
      </c>
    </row>
    <row r="6" spans="1:9" x14ac:dyDescent="0.25">
      <c r="D6" t="s">
        <v>37</v>
      </c>
      <c r="E6">
        <v>-2.8118920358394939</v>
      </c>
      <c r="F6">
        <v>0.12128863576115299</v>
      </c>
      <c r="G6">
        <v>-23.183474842414729</v>
      </c>
    </row>
    <row r="7" spans="1:9" x14ac:dyDescent="0.25">
      <c r="A7" s="4" t="s">
        <v>17</v>
      </c>
      <c r="D7" t="s">
        <v>18</v>
      </c>
      <c r="E7">
        <v>5.4521817553971177</v>
      </c>
      <c r="F7">
        <v>0.21386399202822559</v>
      </c>
      <c r="G7">
        <v>25.49368738369731</v>
      </c>
    </row>
    <row r="8" spans="1:9" x14ac:dyDescent="0.25">
      <c r="D8" t="s">
        <v>38</v>
      </c>
      <c r="E8">
        <v>-4.2515315108254637</v>
      </c>
      <c r="F8">
        <v>0.17212245345690649</v>
      </c>
      <c r="G8">
        <v>-24.700621130118272</v>
      </c>
    </row>
    <row r="9" spans="1:9" x14ac:dyDescent="0.25">
      <c r="D9" t="s">
        <v>20</v>
      </c>
      <c r="E9">
        <v>-3.5147010690621752</v>
      </c>
      <c r="F9">
        <v>0.44139367347160852</v>
      </c>
      <c r="G9">
        <v>-7.9627354905625971</v>
      </c>
    </row>
    <row r="10" spans="1:9" x14ac:dyDescent="0.25">
      <c r="D10" t="s">
        <v>39</v>
      </c>
      <c r="E10">
        <v>-4.9636906643777214</v>
      </c>
      <c r="F10">
        <v>0.27558557010453022</v>
      </c>
      <c r="G10">
        <v>-18.011431667104279</v>
      </c>
    </row>
    <row r="11" spans="1:9" x14ac:dyDescent="0.25">
      <c r="A11" t="s">
        <v>21</v>
      </c>
      <c r="D11" t="s">
        <v>22</v>
      </c>
      <c r="E11">
        <v>-0.38842738666118448</v>
      </c>
      <c r="F11">
        <v>5.5204780696774189E-2</v>
      </c>
      <c r="G11">
        <v>-7.0361186433239782</v>
      </c>
    </row>
    <row r="12" spans="1:9" x14ac:dyDescent="0.25">
      <c r="D12" t="s">
        <v>40</v>
      </c>
      <c r="E12">
        <v>-0.59027914373428503</v>
      </c>
      <c r="F12">
        <v>9.3811539239393865E-2</v>
      </c>
      <c r="G12">
        <v>-6.2921805624356679</v>
      </c>
    </row>
    <row r="13" spans="1:9" x14ac:dyDescent="0.25">
      <c r="A13" t="s">
        <v>23</v>
      </c>
      <c r="D13" t="s">
        <v>24</v>
      </c>
      <c r="E13">
        <v>-0.87056148719999915</v>
      </c>
      <c r="F13">
        <v>6.21986922080369E-2</v>
      </c>
      <c r="G13">
        <v>-13.996459672949699</v>
      </c>
    </row>
    <row r="14" spans="1:9" x14ac:dyDescent="0.25">
      <c r="D14" t="s">
        <v>41</v>
      </c>
      <c r="E14">
        <v>-0.82799112371865524</v>
      </c>
      <c r="F14">
        <v>6.7572689028266977E-2</v>
      </c>
      <c r="G14">
        <v>-12.25333985705808</v>
      </c>
    </row>
    <row r="15" spans="1:9" x14ac:dyDescent="0.25">
      <c r="A15" t="s">
        <v>25</v>
      </c>
      <c r="D15" t="s">
        <v>26</v>
      </c>
      <c r="E15">
        <v>-0.56330427205683942</v>
      </c>
      <c r="F15">
        <v>5.3098605096854747E-2</v>
      </c>
      <c r="G15">
        <v>-10.6086453877525</v>
      </c>
    </row>
    <row r="16" spans="1:9" x14ac:dyDescent="0.25">
      <c r="D16" t="s">
        <v>42</v>
      </c>
      <c r="E16">
        <v>0.3745373236445142</v>
      </c>
      <c r="F16">
        <v>0.1268479639388935</v>
      </c>
      <c r="G16">
        <v>2.95264750031731</v>
      </c>
    </row>
    <row r="17" spans="1:7" x14ac:dyDescent="0.25">
      <c r="A17" t="s">
        <v>27</v>
      </c>
      <c r="D17" t="s">
        <v>28</v>
      </c>
      <c r="E17">
        <v>-0.48313502209346731</v>
      </c>
      <c r="F17">
        <v>4.2810049209205607E-2</v>
      </c>
      <c r="G17">
        <v>-11.28555166410734</v>
      </c>
    </row>
    <row r="18" spans="1:7" x14ac:dyDescent="0.25">
      <c r="D18" t="s">
        <v>43</v>
      </c>
      <c r="E18">
        <v>0.60273830476862977</v>
      </c>
      <c r="F18">
        <v>6.8642692878973385E-2</v>
      </c>
      <c r="G18">
        <v>8.7808079707965607</v>
      </c>
    </row>
    <row r="19" spans="1:7" x14ac:dyDescent="0.25">
      <c r="A19" t="s">
        <v>29</v>
      </c>
      <c r="D19" t="s">
        <v>30</v>
      </c>
      <c r="E19">
        <v>-0.1383871990354259</v>
      </c>
      <c r="F19">
        <v>3.9066966234459502E-2</v>
      </c>
      <c r="G19">
        <v>-3.5423072834706009</v>
      </c>
    </row>
    <row r="20" spans="1:7" x14ac:dyDescent="0.25">
      <c r="D20" t="s">
        <v>44</v>
      </c>
      <c r="E20">
        <v>-0.32208363554686431</v>
      </c>
      <c r="F20">
        <v>9.3586721462246419E-2</v>
      </c>
      <c r="G20">
        <v>-3.4415527172494791</v>
      </c>
    </row>
    <row r="21" spans="1:7" x14ac:dyDescent="0.25">
      <c r="A21" t="s">
        <v>31</v>
      </c>
      <c r="D21" t="s">
        <v>227</v>
      </c>
      <c r="E21">
        <v>0.17474195364912559</v>
      </c>
      <c r="F21">
        <v>4.1155976252340541E-2</v>
      </c>
      <c r="G21">
        <v>4.2458464009631651</v>
      </c>
    </row>
    <row r="22" spans="1:7" x14ac:dyDescent="0.25">
      <c r="D22" t="s">
        <v>228</v>
      </c>
      <c r="E22">
        <v>0.70006699541559314</v>
      </c>
      <c r="F22">
        <v>6.2238524831255811E-2</v>
      </c>
      <c r="G22">
        <v>11.24812963214745</v>
      </c>
    </row>
    <row r="23" spans="1:7" x14ac:dyDescent="0.25">
      <c r="A23" t="s">
        <v>33</v>
      </c>
      <c r="D23" t="s">
        <v>229</v>
      </c>
      <c r="E23">
        <v>0.22775178960204009</v>
      </c>
      <c r="F23">
        <v>4.2562560293244067E-2</v>
      </c>
      <c r="G23">
        <v>5.3509889450468764</v>
      </c>
    </row>
    <row r="24" spans="1:7" x14ac:dyDescent="0.25">
      <c r="D24" t="s">
        <v>230</v>
      </c>
      <c r="E24">
        <v>-1.020990926265138</v>
      </c>
      <c r="F24">
        <v>5.2150456397443833E-2</v>
      </c>
      <c r="G24">
        <v>-19.577794650234011</v>
      </c>
    </row>
    <row r="25" spans="1:7" x14ac:dyDescent="0.25">
      <c r="D25" t="s">
        <v>45</v>
      </c>
      <c r="E25">
        <v>0.92952253387340489</v>
      </c>
      <c r="F25">
        <v>3.9686629562540682E-2</v>
      </c>
      <c r="G25">
        <v>23.421553911717421</v>
      </c>
    </row>
    <row r="26" spans="1:7" x14ac:dyDescent="0.25">
      <c r="D26" t="s">
        <v>46</v>
      </c>
      <c r="E26">
        <v>0.94403405651835381</v>
      </c>
      <c r="F26">
        <v>4.0847632005856262E-2</v>
      </c>
      <c r="G26">
        <v>23.111108530918241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4"/>
  <sheetViews>
    <sheetView topLeftCell="B27" zoomScale="104" workbookViewId="0">
      <selection activeCell="I3" sqref="I3"/>
    </sheetView>
  </sheetViews>
  <sheetFormatPr defaultColWidth="9" defaultRowHeight="15" x14ac:dyDescent="0.25"/>
  <cols>
    <col min="1" max="1" width="4.85546875" customWidth="1"/>
    <col min="2" max="2" width="46.85546875" customWidth="1"/>
    <col min="3" max="3" width="23.140625" customWidth="1"/>
    <col min="6" max="6" width="15.140625" customWidth="1"/>
    <col min="7" max="7" width="18.28515625" customWidth="1"/>
    <col min="8" max="8" width="16" customWidth="1"/>
    <col min="9" max="9" width="16.85546875" customWidth="1"/>
    <col min="10" max="10" width="14.28515625" customWidth="1"/>
    <col min="11" max="11" width="18.85546875" customWidth="1"/>
    <col min="12" max="12" width="15.5703125" customWidth="1"/>
    <col min="13" max="13" width="16.42578125" customWidth="1"/>
    <col min="14" max="14" width="13.7109375" customWidth="1"/>
    <col min="15" max="15" width="18.7109375" customWidth="1"/>
    <col min="16" max="16" width="15.140625" customWidth="1"/>
    <col min="17" max="17" width="16.140625" customWidth="1"/>
    <col min="18" max="18" width="13.42578125" customWidth="1"/>
  </cols>
  <sheetData>
    <row r="1" spans="1:21" x14ac:dyDescent="0.25">
      <c r="A1" s="3"/>
      <c r="B1" s="3" t="s">
        <v>35</v>
      </c>
      <c r="C1" s="3"/>
      <c r="F1" s="6" t="s">
        <v>0</v>
      </c>
      <c r="G1" s="7"/>
      <c r="H1" s="3"/>
      <c r="I1" s="3"/>
      <c r="J1" s="7" t="s">
        <v>1</v>
      </c>
      <c r="K1" s="3"/>
      <c r="L1" s="3"/>
      <c r="M1" s="3"/>
      <c r="N1" s="7" t="s">
        <v>50</v>
      </c>
      <c r="O1" s="3"/>
      <c r="P1" s="3"/>
      <c r="R1" s="8" t="s">
        <v>81</v>
      </c>
    </row>
    <row r="2" spans="1:21" x14ac:dyDescent="0.25">
      <c r="A2" s="2" t="s">
        <v>47</v>
      </c>
    </row>
    <row r="3" spans="1:21" x14ac:dyDescent="0.25">
      <c r="A3" s="2"/>
      <c r="B3" s="4" t="s">
        <v>13</v>
      </c>
      <c r="C3" t="s">
        <v>57</v>
      </c>
      <c r="F3">
        <v>-0.28401860465023882</v>
      </c>
      <c r="G3">
        <v>1.0789084678232117</v>
      </c>
      <c r="H3">
        <v>-5.2649249333128303</v>
      </c>
      <c r="I3" t="str">
        <f>IF(ABS(H3)&gt;2.576,"***",IF(ABS(H3)&gt;1.96,"**",IF(ABS(H3)&gt;1.645,"*","")))</f>
        <v>***</v>
      </c>
      <c r="J3">
        <v>-7.22</v>
      </c>
      <c r="K3">
        <v>4.8440000000000003</v>
      </c>
      <c r="L3">
        <v>-1.4903999999999999</v>
      </c>
      <c r="M3" t="str">
        <f>IF(ABS(L3)&gt;2.576,"***",IF(ABS(L3)&gt;1.96,"**",IF(ABS(L3)&gt;1.645,"*","")))</f>
        <v/>
      </c>
      <c r="N3">
        <v>-12.97069484861942</v>
      </c>
      <c r="O3">
        <v>1.1696875162052303</v>
      </c>
      <c r="P3">
        <v>-11.08902563199077</v>
      </c>
      <c r="Q3" t="str">
        <f>IF(ABS(P3)&gt;2.576,"***",IF(ABS(P3)&gt;1.96,"**",IF(ABS(P3)&gt;1.645,"*","")))</f>
        <v>***</v>
      </c>
      <c r="R3">
        <v>-19.48501237513468</v>
      </c>
      <c r="S3">
        <v>3.7326769477208401</v>
      </c>
      <c r="T3">
        <v>-104.40235063488237</v>
      </c>
      <c r="U3" t="str">
        <f>IF(ABS(T3)&gt;2.576,"***",IF(ABS(T3)&gt;1.96,"**",IF(ABS(T3)&gt;1.645,"*","")))</f>
        <v>***</v>
      </c>
    </row>
    <row r="4" spans="1:21" x14ac:dyDescent="0.25">
      <c r="A4" s="2"/>
      <c r="C4" t="s">
        <v>58</v>
      </c>
      <c r="F4">
        <v>24.277400263829939</v>
      </c>
      <c r="G4">
        <v>2.560849356537104</v>
      </c>
      <c r="H4">
        <v>189.60428267173791</v>
      </c>
      <c r="I4" t="str">
        <f t="shared" ref="I4:I27" si="0">IF(ABS(H4)&gt;2.576,"***",IF(ABS(H4)&gt;1.96,"**",IF(ABS(H4)&gt;1.645,"*","")))</f>
        <v>***</v>
      </c>
      <c r="J4">
        <v>39.174799999999998</v>
      </c>
      <c r="K4">
        <v>28.004000000000001</v>
      </c>
      <c r="L4">
        <v>1.3989</v>
      </c>
      <c r="M4" t="str">
        <f t="shared" ref="M4:M29" si="1">IF(ABS(L4)&gt;2.576,"***",IF(ABS(L4)&gt;1.96,"**",IF(ABS(L4)&gt;1.645,"*","")))</f>
        <v/>
      </c>
      <c r="N4">
        <v>11.417540717596328</v>
      </c>
      <c r="O4">
        <v>1.1763412968436335</v>
      </c>
      <c r="P4">
        <v>9.7059762742598128</v>
      </c>
      <c r="Q4" t="str">
        <f t="shared" ref="Q4:Q29" si="2">IF(ABS(P4)&gt;2.576,"***",IF(ABS(P4)&gt;1.96,"**",IF(ABS(P4)&gt;1.645,"*","")))</f>
        <v>***</v>
      </c>
      <c r="R4">
        <v>-56.896945027499783</v>
      </c>
      <c r="S4">
        <v>11.95003075939054</v>
      </c>
      <c r="T4">
        <v>-95.224767489053022</v>
      </c>
      <c r="U4" t="str">
        <f t="shared" ref="U4:U29" si="3">IF(ABS(T4)&gt;2.576,"***",IF(ABS(T4)&gt;1.96,"**",IF(ABS(T4)&gt;1.645,"*","")))</f>
        <v>***</v>
      </c>
    </row>
    <row r="5" spans="1:21" x14ac:dyDescent="0.25">
      <c r="A5" s="2"/>
      <c r="B5" s="4" t="s">
        <v>15</v>
      </c>
      <c r="C5" t="s">
        <v>59</v>
      </c>
      <c r="F5">
        <v>-0.35906173186932855</v>
      </c>
      <c r="G5">
        <v>1.1140435410352743</v>
      </c>
      <c r="H5">
        <v>-6.446098714160752</v>
      </c>
      <c r="I5" t="str">
        <f t="shared" si="0"/>
        <v>***</v>
      </c>
      <c r="J5">
        <v>-29.3386</v>
      </c>
      <c r="K5">
        <v>21.178000000000001</v>
      </c>
      <c r="L5">
        <v>-1.3853</v>
      </c>
      <c r="M5" t="str">
        <f t="shared" si="1"/>
        <v/>
      </c>
      <c r="N5">
        <v>-17.913717134656476</v>
      </c>
      <c r="O5">
        <v>1.6950906256512925</v>
      </c>
      <c r="P5">
        <v>-10.56799964767289</v>
      </c>
      <c r="Q5" t="str">
        <f t="shared" si="2"/>
        <v>***</v>
      </c>
      <c r="R5">
        <v>-29.122909483828117</v>
      </c>
      <c r="S5">
        <v>6.00555563915702</v>
      </c>
      <c r="T5">
        <v>-96.986561223221003</v>
      </c>
      <c r="U5" t="str">
        <f>IF(ABS(T5)&gt;2.576,"***",IF(ABS(T5)&gt;1.96,"**",IF(ABS(T5)&gt;1.645,"*","")))</f>
        <v>***</v>
      </c>
    </row>
    <row r="6" spans="1:21" x14ac:dyDescent="0.25">
      <c r="A6" s="2"/>
      <c r="C6" t="s">
        <v>60</v>
      </c>
      <c r="F6">
        <v>35.021705920763182</v>
      </c>
      <c r="G6">
        <v>3.7223027831530198</v>
      </c>
      <c r="H6">
        <v>188.17225766409922</v>
      </c>
      <c r="I6" t="str">
        <f t="shared" si="0"/>
        <v>***</v>
      </c>
      <c r="J6">
        <v>47.827199999999998</v>
      </c>
      <c r="K6">
        <v>34.173999999999999</v>
      </c>
      <c r="L6">
        <v>1.3996</v>
      </c>
      <c r="M6" t="str">
        <f t="shared" si="1"/>
        <v/>
      </c>
      <c r="N6">
        <v>15.33656264648833</v>
      </c>
      <c r="O6">
        <v>1.4985072346764996</v>
      </c>
      <c r="P6">
        <v>10.23456029546578</v>
      </c>
      <c r="Q6" t="str">
        <f t="shared" si="2"/>
        <v>***</v>
      </c>
      <c r="R6">
        <v>61.01364460877236</v>
      </c>
      <c r="S6">
        <v>12.777848439781961</v>
      </c>
      <c r="T6">
        <v>95.49908953187348</v>
      </c>
      <c r="U6" t="str">
        <f t="shared" si="3"/>
        <v>***</v>
      </c>
    </row>
    <row r="7" spans="1:21" x14ac:dyDescent="0.25">
      <c r="A7" s="2"/>
      <c r="B7" s="4" t="s">
        <v>17</v>
      </c>
      <c r="C7" t="s">
        <v>61</v>
      </c>
      <c r="F7">
        <v>-54.733087117843382</v>
      </c>
      <c r="G7">
        <v>5.3846296459764496</v>
      </c>
      <c r="H7">
        <v>-203.29378514914762</v>
      </c>
      <c r="I7" t="str">
        <f t="shared" si="0"/>
        <v>***</v>
      </c>
      <c r="J7">
        <v>13.939399999999999</v>
      </c>
      <c r="K7">
        <v>18.564</v>
      </c>
      <c r="L7">
        <v>0.75090000000000001</v>
      </c>
      <c r="M7" t="str">
        <f t="shared" si="1"/>
        <v/>
      </c>
      <c r="N7">
        <v>-26.305194426215781</v>
      </c>
      <c r="O7">
        <v>2.3690634994453781</v>
      </c>
      <c r="P7">
        <v>-11.1036257290588</v>
      </c>
      <c r="Q7" t="str">
        <f t="shared" si="2"/>
        <v>***</v>
      </c>
      <c r="R7">
        <v>-29.744531088816778</v>
      </c>
      <c r="S7">
        <v>6.2514002521055447</v>
      </c>
      <c r="T7">
        <v>-95.161179541490668</v>
      </c>
      <c r="U7" t="str">
        <f t="shared" si="3"/>
        <v>***</v>
      </c>
    </row>
    <row r="8" spans="1:21" x14ac:dyDescent="0.25">
      <c r="A8" s="2"/>
      <c r="C8" t="s">
        <v>62</v>
      </c>
      <c r="F8">
        <v>36.608491502644881</v>
      </c>
      <c r="G8">
        <v>3.8293736894822961</v>
      </c>
      <c r="H8">
        <v>191.19832364855509</v>
      </c>
      <c r="I8" t="str">
        <f t="shared" si="0"/>
        <v>***</v>
      </c>
      <c r="J8">
        <v>45.547199999999997</v>
      </c>
      <c r="K8">
        <v>34.606000000000002</v>
      </c>
      <c r="L8">
        <v>1.3162</v>
      </c>
      <c r="M8" t="str">
        <f t="shared" si="1"/>
        <v/>
      </c>
      <c r="N8">
        <v>-13.866929644665774</v>
      </c>
      <c r="O8">
        <v>1.4047684758999006</v>
      </c>
      <c r="P8">
        <v>-9.8713274696619013</v>
      </c>
      <c r="Q8" t="str">
        <f t="shared" si="2"/>
        <v>***</v>
      </c>
      <c r="R8">
        <v>53.71267799137236</v>
      </c>
      <c r="S8">
        <v>11.365111264057164</v>
      </c>
      <c r="T8">
        <v>94.522045131651055</v>
      </c>
      <c r="U8" t="str">
        <f t="shared" si="3"/>
        <v>***</v>
      </c>
    </row>
    <row r="9" spans="1:21" x14ac:dyDescent="0.25">
      <c r="A9" s="2"/>
      <c r="C9" t="s">
        <v>48</v>
      </c>
      <c r="F9">
        <v>22.639018115986321</v>
      </c>
      <c r="G9">
        <v>2.5153112259811099</v>
      </c>
      <c r="H9">
        <v>180.00967738817963</v>
      </c>
      <c r="I9" t="str">
        <f t="shared" si="0"/>
        <v>***</v>
      </c>
      <c r="J9">
        <v>23.674800000000001</v>
      </c>
      <c r="K9">
        <v>14.33</v>
      </c>
      <c r="L9">
        <v>1.6520999999999999</v>
      </c>
      <c r="M9" t="str">
        <f t="shared" si="1"/>
        <v>*</v>
      </c>
      <c r="N9">
        <v>27.90768469498428</v>
      </c>
      <c r="O9">
        <v>2.1721144883726122</v>
      </c>
      <c r="P9">
        <v>12.848164700514131</v>
      </c>
      <c r="Q9" t="str">
        <f t="shared" si="2"/>
        <v>***</v>
      </c>
      <c r="R9">
        <v>19.990829122665868</v>
      </c>
      <c r="S9">
        <v>4.6458941690352962</v>
      </c>
      <c r="T9">
        <v>86.058047795853682</v>
      </c>
      <c r="U9" t="str">
        <f t="shared" si="3"/>
        <v>***</v>
      </c>
    </row>
    <row r="10" spans="1:21" x14ac:dyDescent="0.25">
      <c r="A10" s="2"/>
      <c r="C10" t="s">
        <v>49</v>
      </c>
      <c r="F10">
        <v>17.317192185227043</v>
      </c>
      <c r="G10">
        <v>1.1547006723687945</v>
      </c>
      <c r="H10">
        <v>299.94253228764359</v>
      </c>
      <c r="I10" t="str">
        <f t="shared" si="0"/>
        <v>***</v>
      </c>
      <c r="J10">
        <v>-36.112400000000001</v>
      </c>
      <c r="K10">
        <v>6.4119999999999999</v>
      </c>
      <c r="L10">
        <v>-5.6314000000000002</v>
      </c>
      <c r="M10" t="str">
        <f t="shared" si="1"/>
        <v>***</v>
      </c>
      <c r="N10">
        <v>10.940152626189274</v>
      </c>
      <c r="O10">
        <v>1.1739642472534444</v>
      </c>
      <c r="P10">
        <v>9.3189827984833258</v>
      </c>
      <c r="Q10" t="str">
        <f t="shared" si="2"/>
        <v>***</v>
      </c>
      <c r="R10">
        <v>-28.208642498470361</v>
      </c>
      <c r="S10">
        <v>1.5292378016497161</v>
      </c>
      <c r="T10">
        <v>-368.92421136908018</v>
      </c>
      <c r="U10" t="str">
        <f t="shared" si="3"/>
        <v>***</v>
      </c>
    </row>
    <row r="11" spans="1:21" x14ac:dyDescent="0.25">
      <c r="B11" t="s">
        <v>21</v>
      </c>
      <c r="C11" t="s">
        <v>63</v>
      </c>
      <c r="F11">
        <v>5.4262808404908727</v>
      </c>
      <c r="G11">
        <v>0.8443507457481727</v>
      </c>
      <c r="H11">
        <v>128.53143951883845</v>
      </c>
      <c r="I11" t="str">
        <f t="shared" si="0"/>
        <v>***</v>
      </c>
      <c r="J11">
        <v>1.4774</v>
      </c>
      <c r="K11">
        <v>2.3180000000000001</v>
      </c>
      <c r="L11">
        <v>0.63739999999999997</v>
      </c>
      <c r="M11" t="str">
        <f t="shared" si="1"/>
        <v/>
      </c>
      <c r="N11">
        <v>1.396209556636254</v>
      </c>
      <c r="O11">
        <v>0.44438324079902825</v>
      </c>
      <c r="P11">
        <v>3.141904168406044</v>
      </c>
      <c r="Q11" t="str">
        <f t="shared" si="2"/>
        <v>***</v>
      </c>
      <c r="R11">
        <v>11.795355597175135</v>
      </c>
      <c r="S11">
        <v>2.6349032836212483</v>
      </c>
      <c r="T11">
        <v>89.531601941490095</v>
      </c>
      <c r="U11" t="str">
        <f t="shared" si="3"/>
        <v>***</v>
      </c>
    </row>
    <row r="12" spans="1:21" x14ac:dyDescent="0.25">
      <c r="C12" t="s">
        <v>64</v>
      </c>
      <c r="F12">
        <v>-2.4570899581361778</v>
      </c>
      <c r="G12">
        <v>1.1136594435501159</v>
      </c>
      <c r="H12">
        <v>-44.126415348366876</v>
      </c>
      <c r="I12" t="str">
        <f t="shared" si="0"/>
        <v>***</v>
      </c>
      <c r="J12">
        <v>5.6261999999999999</v>
      </c>
      <c r="K12">
        <v>4.492</v>
      </c>
      <c r="L12">
        <v>1.2527999999999999</v>
      </c>
      <c r="M12" t="str">
        <f t="shared" si="1"/>
        <v/>
      </c>
      <c r="N12">
        <v>0.38731169942401383</v>
      </c>
      <c r="O12">
        <v>0.90069032370889146</v>
      </c>
      <c r="P12">
        <v>0.43001649871082132</v>
      </c>
      <c r="Q12" t="str">
        <f t="shared" si="2"/>
        <v/>
      </c>
      <c r="R12">
        <v>-3.103215382336864</v>
      </c>
      <c r="S12">
        <v>1.1073244809942135</v>
      </c>
      <c r="T12">
        <v>-56.048889654288779</v>
      </c>
      <c r="U12" t="str">
        <f t="shared" si="3"/>
        <v>***</v>
      </c>
    </row>
    <row r="13" spans="1:21" x14ac:dyDescent="0.25">
      <c r="B13" t="s">
        <v>23</v>
      </c>
      <c r="C13" t="s">
        <v>65</v>
      </c>
      <c r="F13">
        <v>7.579189741232728</v>
      </c>
      <c r="G13">
        <v>1.0205742028328133</v>
      </c>
      <c r="H13">
        <v>148.52795064180793</v>
      </c>
      <c r="I13" t="str">
        <f t="shared" si="0"/>
        <v>***</v>
      </c>
      <c r="J13">
        <v>14.771800000000001</v>
      </c>
      <c r="K13">
        <v>11.054</v>
      </c>
      <c r="L13">
        <v>1.3364</v>
      </c>
      <c r="M13" t="str">
        <f t="shared" si="1"/>
        <v/>
      </c>
      <c r="N13">
        <v>5.4728298321868563</v>
      </c>
      <c r="O13">
        <v>0.617509289698842</v>
      </c>
      <c r="P13">
        <v>8.8627489877212113</v>
      </c>
      <c r="Q13" t="str">
        <f t="shared" si="2"/>
        <v>***</v>
      </c>
      <c r="R13">
        <v>24.22206577229236</v>
      </c>
      <c r="S13">
        <v>5.0825635225110721</v>
      </c>
      <c r="T13">
        <v>95.314365142751015</v>
      </c>
      <c r="U13" t="str">
        <f t="shared" si="3"/>
        <v>***</v>
      </c>
    </row>
    <row r="14" spans="1:21" x14ac:dyDescent="0.25">
      <c r="C14" t="s">
        <v>66</v>
      </c>
      <c r="F14">
        <v>8.3490064030723747</v>
      </c>
      <c r="G14">
        <v>0.95648987544330721</v>
      </c>
      <c r="H14">
        <v>174.57594936282698</v>
      </c>
      <c r="I14" t="str">
        <f t="shared" si="0"/>
        <v>***</v>
      </c>
      <c r="J14">
        <v>9.7260000000000009</v>
      </c>
      <c r="K14">
        <v>7.76</v>
      </c>
      <c r="L14">
        <v>1.2535000000000001</v>
      </c>
      <c r="M14" t="str">
        <f t="shared" si="1"/>
        <v/>
      </c>
      <c r="N14">
        <v>5.8480142428904482</v>
      </c>
      <c r="O14">
        <v>0.67478028710618043</v>
      </c>
      <c r="P14">
        <v>8.666545769986655</v>
      </c>
      <c r="Q14" t="str">
        <f t="shared" si="2"/>
        <v>***</v>
      </c>
      <c r="R14">
        <v>-19.717468762836951</v>
      </c>
      <c r="S14">
        <v>4.2873346530005376</v>
      </c>
      <c r="T14">
        <v>-91.980077874431672</v>
      </c>
      <c r="U14" t="str">
        <f t="shared" si="3"/>
        <v>***</v>
      </c>
    </row>
    <row r="15" spans="1:21" x14ac:dyDescent="0.25">
      <c r="B15" t="s">
        <v>25</v>
      </c>
      <c r="C15" t="s">
        <v>67</v>
      </c>
      <c r="F15">
        <v>6.0144206526623361</v>
      </c>
      <c r="G15">
        <v>0.87145111546340037</v>
      </c>
      <c r="H15">
        <v>138.03231290751458</v>
      </c>
      <c r="I15" t="str">
        <f t="shared" si="0"/>
        <v>***</v>
      </c>
      <c r="J15">
        <v>9.8591999999999995</v>
      </c>
      <c r="K15">
        <v>7.7279999999999998</v>
      </c>
      <c r="L15">
        <v>1.2757000000000001</v>
      </c>
      <c r="M15" t="str">
        <f t="shared" si="1"/>
        <v/>
      </c>
      <c r="N15">
        <v>3.3044327533179203</v>
      </c>
      <c r="O15">
        <v>0.5286950418381644</v>
      </c>
      <c r="P15">
        <v>6.2501678506934404</v>
      </c>
      <c r="Q15" t="str">
        <f t="shared" si="2"/>
        <v>***</v>
      </c>
      <c r="R15">
        <v>13.777282307285963</v>
      </c>
      <c r="S15">
        <v>2.9931692537709695</v>
      </c>
      <c r="T15">
        <v>92.05815735230162</v>
      </c>
      <c r="U15" t="str">
        <f t="shared" si="3"/>
        <v>***</v>
      </c>
    </row>
    <row r="16" spans="1:21" x14ac:dyDescent="0.25">
      <c r="C16" t="s">
        <v>68</v>
      </c>
      <c r="F16">
        <v>2.0566593569160161</v>
      </c>
      <c r="G16">
        <v>1.0146903995354111</v>
      </c>
      <c r="H16">
        <v>40.537672532581041</v>
      </c>
      <c r="I16" t="str">
        <f t="shared" si="0"/>
        <v>***</v>
      </c>
      <c r="J16">
        <v>17.250399999999999</v>
      </c>
      <c r="K16">
        <v>11.976000000000001</v>
      </c>
      <c r="L16">
        <v>1.4403999999999999</v>
      </c>
      <c r="M16" t="str">
        <f t="shared" si="1"/>
        <v/>
      </c>
      <c r="N16">
        <v>5.2457445845001907</v>
      </c>
      <c r="O16">
        <v>0.75107821112847195</v>
      </c>
      <c r="P16">
        <v>6.9842854003428192</v>
      </c>
      <c r="Q16" t="str">
        <f t="shared" si="2"/>
        <v>***</v>
      </c>
      <c r="R16">
        <v>2.2691528113441661</v>
      </c>
      <c r="S16">
        <v>0.98890525757290604</v>
      </c>
      <c r="T16">
        <v>45.892218571340265</v>
      </c>
      <c r="U16" t="str">
        <f t="shared" si="3"/>
        <v>***</v>
      </c>
    </row>
    <row r="17" spans="2:21" x14ac:dyDescent="0.25">
      <c r="B17" t="s">
        <v>27</v>
      </c>
      <c r="C17" t="s">
        <v>69</v>
      </c>
      <c r="F17">
        <v>4.7361127699870078</v>
      </c>
      <c r="G17">
        <v>0.72491442546131934</v>
      </c>
      <c r="H17">
        <v>130.66680986443473</v>
      </c>
      <c r="I17" t="str">
        <f t="shared" si="0"/>
        <v>***</v>
      </c>
      <c r="J17">
        <v>11.723000000000001</v>
      </c>
      <c r="K17">
        <v>8.548</v>
      </c>
      <c r="L17">
        <v>1.3714</v>
      </c>
      <c r="M17" t="str">
        <f t="shared" si="1"/>
        <v/>
      </c>
      <c r="N17">
        <v>2.4475027482445362</v>
      </c>
      <c r="O17">
        <v>0.43253542662968941</v>
      </c>
      <c r="P17">
        <v>5.6585023967064316</v>
      </c>
      <c r="Q17" t="str">
        <f t="shared" si="2"/>
        <v>***</v>
      </c>
      <c r="R17">
        <v>12.021814080330133</v>
      </c>
      <c r="S17">
        <v>2.6554064355926084</v>
      </c>
      <c r="T17">
        <v>90.545943695788509</v>
      </c>
      <c r="U17" t="str">
        <f t="shared" si="3"/>
        <v>***</v>
      </c>
    </row>
    <row r="18" spans="2:21" x14ac:dyDescent="0.25">
      <c r="C18" t="s">
        <v>70</v>
      </c>
      <c r="F18">
        <v>5.5432764503642717</v>
      </c>
      <c r="G18">
        <v>0.72595533097057341</v>
      </c>
      <c r="H18">
        <v>152.71673652297952</v>
      </c>
      <c r="I18" t="str">
        <f t="shared" si="0"/>
        <v>***</v>
      </c>
      <c r="J18">
        <v>-10.098800000000001</v>
      </c>
      <c r="K18">
        <v>7.3220000000000001</v>
      </c>
      <c r="L18">
        <v>-1.3791</v>
      </c>
      <c r="M18" t="str">
        <f t="shared" si="1"/>
        <v/>
      </c>
      <c r="N18">
        <v>-4.8762988828209419</v>
      </c>
      <c r="O18">
        <v>0.61063499104597785</v>
      </c>
      <c r="P18">
        <v>-7.9856198126939324</v>
      </c>
      <c r="Q18" t="str">
        <f t="shared" si="2"/>
        <v>***</v>
      </c>
      <c r="R18">
        <v>15.492986531715463</v>
      </c>
      <c r="S18">
        <v>3.361559251367682</v>
      </c>
      <c r="T18">
        <v>92.177381823104838</v>
      </c>
      <c r="U18" t="str">
        <f t="shared" si="3"/>
        <v>***</v>
      </c>
    </row>
    <row r="19" spans="2:21" x14ac:dyDescent="0.25">
      <c r="B19" t="s">
        <v>29</v>
      </c>
      <c r="C19" t="s">
        <v>71</v>
      </c>
      <c r="F19">
        <v>1.5619947908600014</v>
      </c>
      <c r="G19">
        <v>0.51273650434816886</v>
      </c>
      <c r="H19">
        <v>60.927777820139141</v>
      </c>
      <c r="I19" t="str">
        <f t="shared" si="0"/>
        <v>***</v>
      </c>
      <c r="J19">
        <v>3.5821999999999998</v>
      </c>
      <c r="K19">
        <v>3.19</v>
      </c>
      <c r="L19">
        <v>1.1231</v>
      </c>
      <c r="M19" t="str">
        <f t="shared" si="1"/>
        <v/>
      </c>
      <c r="N19">
        <v>0.42706393339913301</v>
      </c>
      <c r="O19">
        <v>0.35904956182222558</v>
      </c>
      <c r="P19">
        <v>1.1894289223797549</v>
      </c>
      <c r="Q19" t="str">
        <f t="shared" si="2"/>
        <v/>
      </c>
      <c r="R19">
        <v>2.994641785373318</v>
      </c>
      <c r="S19">
        <v>0.9185612990113281</v>
      </c>
      <c r="T19">
        <v>65.20287298401378</v>
      </c>
      <c r="U19" t="str">
        <f t="shared" si="3"/>
        <v>***</v>
      </c>
    </row>
    <row r="20" spans="2:21" x14ac:dyDescent="0.25">
      <c r="C20" t="s">
        <v>72</v>
      </c>
      <c r="F20">
        <v>0.92705174244341382</v>
      </c>
      <c r="G20">
        <v>0.66974079780774076</v>
      </c>
      <c r="H20">
        <v>27.683896381344184</v>
      </c>
      <c r="I20" t="str">
        <f t="shared" si="0"/>
        <v>***</v>
      </c>
      <c r="J20">
        <v>5.5970000000000004</v>
      </c>
      <c r="K20">
        <v>4.3280000000000003</v>
      </c>
      <c r="L20">
        <v>1.2928999999999999</v>
      </c>
      <c r="M20" t="str">
        <f t="shared" si="1"/>
        <v/>
      </c>
      <c r="N20">
        <v>-3.4560270345905018</v>
      </c>
      <c r="O20">
        <v>0.61906637776029694</v>
      </c>
      <c r="P20">
        <v>-5.5826437337688501</v>
      </c>
      <c r="Q20" t="str">
        <f t="shared" si="2"/>
        <v>***</v>
      </c>
      <c r="R20">
        <v>-8.0298025256088295</v>
      </c>
      <c r="S20">
        <v>1.7473309989518953</v>
      </c>
      <c r="T20">
        <v>-91.909346659852758</v>
      </c>
      <c r="U20" t="str">
        <f t="shared" si="3"/>
        <v>***</v>
      </c>
    </row>
    <row r="21" spans="2:21" x14ac:dyDescent="0.25">
      <c r="B21" t="s">
        <v>31</v>
      </c>
      <c r="C21" t="s">
        <v>73</v>
      </c>
      <c r="F21">
        <v>-1.5072445974617361</v>
      </c>
      <c r="G21">
        <v>0.49345665788941884</v>
      </c>
      <c r="H21">
        <v>-61.08923948491956</v>
      </c>
      <c r="I21" t="str">
        <f t="shared" si="0"/>
        <v>***</v>
      </c>
      <c r="J21">
        <v>-10.3736</v>
      </c>
      <c r="K21">
        <v>8.1940000000000008</v>
      </c>
      <c r="L21">
        <v>-1.266</v>
      </c>
      <c r="M21" t="str">
        <f t="shared" si="1"/>
        <v/>
      </c>
      <c r="N21">
        <v>-1.41378537195885</v>
      </c>
      <c r="O21">
        <v>0.35981220770809041</v>
      </c>
      <c r="P21">
        <v>-3.9292312536150251</v>
      </c>
      <c r="Q21" t="str">
        <f t="shared" si="2"/>
        <v>***</v>
      </c>
      <c r="R21">
        <v>-2.1576908707137581</v>
      </c>
      <c r="S21">
        <v>0.7599347758742282</v>
      </c>
      <c r="T21">
        <v>-56.786212164894081</v>
      </c>
      <c r="U21" t="str">
        <f t="shared" si="3"/>
        <v>***</v>
      </c>
    </row>
    <row r="22" spans="2:21" x14ac:dyDescent="0.25">
      <c r="C22" t="s">
        <v>74</v>
      </c>
      <c r="F22">
        <v>5.2778546500143966</v>
      </c>
      <c r="G22">
        <v>0.79798979691519956</v>
      </c>
      <c r="H22">
        <v>132.27875018996667</v>
      </c>
      <c r="I22" t="str">
        <f t="shared" si="0"/>
        <v>***</v>
      </c>
      <c r="J22">
        <v>-11.94</v>
      </c>
      <c r="K22">
        <v>8.8420000000000005</v>
      </c>
      <c r="L22">
        <v>-1.3503000000000001</v>
      </c>
      <c r="M22" t="str">
        <f t="shared" si="1"/>
        <v/>
      </c>
      <c r="N22">
        <v>4.1497441559027681</v>
      </c>
      <c r="O22">
        <v>0.55040420119062317</v>
      </c>
      <c r="P22">
        <v>7.5394485487685676</v>
      </c>
      <c r="Q22" t="str">
        <f t="shared" si="2"/>
        <v>***</v>
      </c>
      <c r="R22">
        <v>-1.9092108396274954</v>
      </c>
      <c r="S22">
        <v>0.59490785861493134</v>
      </c>
      <c r="T22">
        <v>-64.185093942868164</v>
      </c>
      <c r="U22" t="str">
        <f t="shared" si="3"/>
        <v>***</v>
      </c>
    </row>
    <row r="23" spans="2:21" x14ac:dyDescent="0.25">
      <c r="B23" t="s">
        <v>33</v>
      </c>
      <c r="C23" t="s">
        <v>75</v>
      </c>
      <c r="F23">
        <v>-1.8345755019928611</v>
      </c>
      <c r="G23">
        <v>0.52108951008892446</v>
      </c>
      <c r="H23">
        <v>-70.41306595021608</v>
      </c>
      <c r="I23" t="str">
        <f t="shared" si="0"/>
        <v>***</v>
      </c>
      <c r="J23">
        <v>-9.2729999999999997</v>
      </c>
      <c r="K23">
        <v>7.1180000000000003</v>
      </c>
      <c r="L23">
        <v>-1.3028</v>
      </c>
      <c r="M23" t="str">
        <f t="shared" si="1"/>
        <v/>
      </c>
      <c r="N23">
        <v>-1.6678261565598249</v>
      </c>
      <c r="O23">
        <v>0.3658440551071046</v>
      </c>
      <c r="P23">
        <v>-4.5588444947439477</v>
      </c>
      <c r="Q23" t="str">
        <f t="shared" si="2"/>
        <v>***</v>
      </c>
      <c r="R23">
        <v>-3.4070680826160382</v>
      </c>
      <c r="S23">
        <v>0.96544699777104792</v>
      </c>
      <c r="T23">
        <v>-70.580116577751483</v>
      </c>
      <c r="U23" t="str">
        <f t="shared" si="3"/>
        <v>***</v>
      </c>
    </row>
    <row r="24" spans="2:21" x14ac:dyDescent="0.25">
      <c r="C24" t="s">
        <v>76</v>
      </c>
      <c r="F24">
        <v>-9.2708670793003023</v>
      </c>
      <c r="G24">
        <v>1.004449304121646</v>
      </c>
      <c r="H24">
        <v>-184.59601776333216</v>
      </c>
      <c r="I24" t="str">
        <f t="shared" si="0"/>
        <v>***</v>
      </c>
      <c r="J24">
        <v>18.125</v>
      </c>
      <c r="K24">
        <v>13.25</v>
      </c>
      <c r="L24">
        <v>1.3678999999999999</v>
      </c>
      <c r="M24" t="str">
        <f t="shared" si="1"/>
        <v/>
      </c>
      <c r="N24">
        <v>5.2200767227951719</v>
      </c>
      <c r="O24">
        <v>0.56730358203388365</v>
      </c>
      <c r="P24">
        <v>9.201557839772974</v>
      </c>
      <c r="Q24" t="str">
        <f t="shared" si="2"/>
        <v>***</v>
      </c>
      <c r="R24">
        <v>-6.5888410182026362</v>
      </c>
      <c r="S24">
        <v>1.570021275333159</v>
      </c>
      <c r="T24">
        <v>-83.933143094567058</v>
      </c>
      <c r="U24" t="str">
        <f t="shared" si="3"/>
        <v>***</v>
      </c>
    </row>
    <row r="25" spans="2:21" x14ac:dyDescent="0.25">
      <c r="C25" t="s">
        <v>45</v>
      </c>
      <c r="F25">
        <v>16.573902947618254</v>
      </c>
      <c r="G25">
        <v>1.6443310884617253</v>
      </c>
      <c r="H25">
        <v>201.5883913394008</v>
      </c>
      <c r="I25" t="str">
        <f t="shared" si="0"/>
        <v>***</v>
      </c>
      <c r="J25">
        <v>25.722000000000001</v>
      </c>
      <c r="K25">
        <v>9.4939999999999998</v>
      </c>
      <c r="L25">
        <v>2.7090000000000001</v>
      </c>
      <c r="M25" t="str">
        <f t="shared" si="1"/>
        <v>***</v>
      </c>
      <c r="N25">
        <v>18.843959162785332</v>
      </c>
      <c r="O25">
        <v>1.542465588747802</v>
      </c>
      <c r="P25">
        <v>12.21677767092565</v>
      </c>
      <c r="Q25" t="str">
        <f t="shared" si="2"/>
        <v>***</v>
      </c>
      <c r="R25">
        <v>13.738034145926658</v>
      </c>
      <c r="S25">
        <v>1.5516924936825478</v>
      </c>
      <c r="T25">
        <v>177.07160667282636</v>
      </c>
      <c r="U25" t="str">
        <f t="shared" si="3"/>
        <v>***</v>
      </c>
    </row>
    <row r="26" spans="2:21" x14ac:dyDescent="0.25">
      <c r="C26" t="s">
        <v>46</v>
      </c>
      <c r="F26">
        <v>18.726517165622234</v>
      </c>
      <c r="G26">
        <v>1.8535171801872361</v>
      </c>
      <c r="H26">
        <v>202.06467321474238</v>
      </c>
      <c r="I26" t="str">
        <f t="shared" si="0"/>
        <v>***</v>
      </c>
      <c r="J26">
        <v>13.877800000000001</v>
      </c>
      <c r="K26">
        <v>6.3739999999999997</v>
      </c>
      <c r="L26">
        <v>2.1776</v>
      </c>
      <c r="M26" t="str">
        <f t="shared" si="1"/>
        <v>**</v>
      </c>
      <c r="N26">
        <v>17.372997382518257</v>
      </c>
      <c r="O26">
        <v>1.4961278748604931</v>
      </c>
      <c r="P26">
        <v>11.611973598271611</v>
      </c>
      <c r="Q26" t="str">
        <f t="shared" si="2"/>
        <v>***</v>
      </c>
      <c r="R26">
        <v>13.487233829226478</v>
      </c>
      <c r="S26">
        <v>1.5913518272905929</v>
      </c>
      <c r="T26">
        <v>169.50662446769672</v>
      </c>
      <c r="U26" t="str">
        <f t="shared" si="3"/>
        <v>***</v>
      </c>
    </row>
    <row r="27" spans="2:21" x14ac:dyDescent="0.25">
      <c r="C27" t="s">
        <v>77</v>
      </c>
      <c r="F27">
        <v>-54.44906851319314</v>
      </c>
      <c r="G27">
        <v>9.0184016703619037</v>
      </c>
      <c r="H27">
        <v>-120.75103882794372</v>
      </c>
      <c r="I27" t="str">
        <f t="shared" si="0"/>
        <v>***</v>
      </c>
      <c r="M27" t="str">
        <f t="shared" si="1"/>
        <v/>
      </c>
      <c r="N27">
        <v>-13.334499577596366</v>
      </c>
      <c r="O27">
        <v>2.0846556539829479</v>
      </c>
      <c r="P27">
        <v>-6.3964998498046626</v>
      </c>
      <c r="Q27" t="str">
        <f t="shared" si="2"/>
        <v>***</v>
      </c>
      <c r="R27">
        <v>-10.259518713682098</v>
      </c>
      <c r="S27">
        <v>2.7858484667341701</v>
      </c>
      <c r="T27">
        <v>-73.654535314401045</v>
      </c>
      <c r="U27" t="str">
        <f t="shared" si="3"/>
        <v>***</v>
      </c>
    </row>
    <row r="28" spans="2:21" x14ac:dyDescent="0.25">
      <c r="C28" t="s">
        <v>78</v>
      </c>
      <c r="F28">
        <v>-54.374025385974036</v>
      </c>
      <c r="G28">
        <v>8.5482628174341837</v>
      </c>
      <c r="H28">
        <v>-127.21655042022854</v>
      </c>
      <c r="I28" t="str">
        <f>IF(ABS(H28)&gt;2.576,"***",IF(ABS(H28)&gt;1.96,"**",IF(ABS(H28)&gt;1.645,"*","")))</f>
        <v>***</v>
      </c>
      <c r="M28" t="str">
        <f t="shared" si="1"/>
        <v/>
      </c>
      <c r="N28">
        <v>-8.3914772915593101</v>
      </c>
      <c r="O28">
        <v>1.8529636007924013</v>
      </c>
      <c r="P28">
        <v>-4.5286789702565011</v>
      </c>
      <c r="Q28" t="str">
        <f t="shared" si="2"/>
        <v>***</v>
      </c>
      <c r="R28">
        <v>-0.62162160498865138</v>
      </c>
      <c r="S28">
        <v>2.278271565934106</v>
      </c>
      <c r="T28">
        <v>-5.4569579349842119</v>
      </c>
      <c r="U28" t="str">
        <f t="shared" si="3"/>
        <v>***</v>
      </c>
    </row>
    <row r="29" spans="2:21" x14ac:dyDescent="0.25">
      <c r="C29" t="s">
        <v>79</v>
      </c>
      <c r="F29">
        <v>7.5043127219089859E-2</v>
      </c>
      <c r="G29">
        <v>1.4627398690125057</v>
      </c>
      <c r="H29">
        <v>1.026062511986515</v>
      </c>
      <c r="I29" t="str">
        <f>IF(ABS(H29)&gt;2.576,"***",IF(ABS(H29)&gt;1.96,"**",IF(ABS(H29)&gt;1.645,"*","")))</f>
        <v/>
      </c>
      <c r="M29" t="str">
        <f t="shared" si="1"/>
        <v/>
      </c>
      <c r="N29">
        <v>4.9430222860370563</v>
      </c>
      <c r="O29">
        <v>1.5533925222294662</v>
      </c>
      <c r="P29">
        <v>3.1820819369869962</v>
      </c>
      <c r="Q29" t="str">
        <f t="shared" si="2"/>
        <v>***</v>
      </c>
      <c r="R29">
        <v>9.6378971086934477</v>
      </c>
      <c r="S29">
        <v>2.1739561092698483</v>
      </c>
      <c r="T29">
        <v>88.666896885332832</v>
      </c>
      <c r="U29" t="str">
        <f t="shared" si="3"/>
        <v>***</v>
      </c>
    </row>
    <row r="33" spans="3:35" x14ac:dyDescent="0.25">
      <c r="C33" s="5"/>
    </row>
    <row r="34" spans="3:35" ht="15.75" thickBot="1" x14ac:dyDescent="0.3">
      <c r="C34" s="5"/>
    </row>
    <row r="35" spans="3:35" x14ac:dyDescent="0.25">
      <c r="C35" s="5"/>
      <c r="E35" s="11" t="s">
        <v>84</v>
      </c>
      <c r="F35" s="12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4"/>
    </row>
    <row r="36" spans="3:35" x14ac:dyDescent="0.25">
      <c r="C36" s="5"/>
      <c r="E36" s="15"/>
      <c r="F36" s="15"/>
      <c r="G36" t="s">
        <v>85</v>
      </c>
      <c r="H36" t="s">
        <v>85</v>
      </c>
      <c r="I36" t="s">
        <v>86</v>
      </c>
      <c r="J36" t="s">
        <v>85</v>
      </c>
      <c r="K36" t="s">
        <v>5</v>
      </c>
      <c r="L36" t="s">
        <v>5</v>
      </c>
      <c r="M36" t="s">
        <v>5</v>
      </c>
      <c r="N36" t="s">
        <v>5</v>
      </c>
      <c r="O36" t="s">
        <v>87</v>
      </c>
      <c r="P36" t="s">
        <v>87</v>
      </c>
      <c r="Q36" t="s">
        <v>87</v>
      </c>
      <c r="R36" t="s">
        <v>87</v>
      </c>
      <c r="AA36" s="16"/>
    </row>
    <row r="37" spans="3:35" x14ac:dyDescent="0.25">
      <c r="C37" s="5"/>
      <c r="E37" s="15" t="s">
        <v>88</v>
      </c>
      <c r="F37" s="15" t="s">
        <v>89</v>
      </c>
      <c r="G37" t="s">
        <v>90</v>
      </c>
      <c r="H37" t="s">
        <v>91</v>
      </c>
      <c r="I37" t="s">
        <v>92</v>
      </c>
      <c r="J37" t="s">
        <v>81</v>
      </c>
      <c r="K37" t="s">
        <v>90</v>
      </c>
      <c r="L37" t="s">
        <v>91</v>
      </c>
      <c r="M37" t="s">
        <v>92</v>
      </c>
      <c r="N37" t="s">
        <v>81</v>
      </c>
      <c r="O37" t="s">
        <v>90</v>
      </c>
      <c r="P37" t="s">
        <v>91</v>
      </c>
      <c r="Q37" t="s">
        <v>92</v>
      </c>
      <c r="R37" t="s">
        <v>81</v>
      </c>
      <c r="W37" s="17" t="s">
        <v>93</v>
      </c>
    </row>
    <row r="38" spans="3:35" x14ac:dyDescent="0.25">
      <c r="C38" s="5"/>
      <c r="E38" s="15">
        <v>1</v>
      </c>
      <c r="F38" s="18" t="s">
        <v>94</v>
      </c>
      <c r="G38" s="19">
        <f>F3</f>
        <v>-0.28401860465023882</v>
      </c>
      <c r="H38" s="19">
        <f>J3</f>
        <v>-7.22</v>
      </c>
      <c r="I38" s="19">
        <f>N3</f>
        <v>-12.97069484861942</v>
      </c>
      <c r="J38" s="19">
        <f>R3</f>
        <v>-19.48501237513468</v>
      </c>
      <c r="K38" s="19">
        <f>G3</f>
        <v>1.0789084678232117</v>
      </c>
      <c r="L38" s="19">
        <f t="shared" ref="L38" si="4">K3</f>
        <v>4.8440000000000003</v>
      </c>
      <c r="M38" s="19">
        <f>O3</f>
        <v>1.1696875162052303</v>
      </c>
      <c r="N38" s="19">
        <f>S3</f>
        <v>3.7326769477208401</v>
      </c>
      <c r="O38" s="19">
        <f>F4</f>
        <v>24.277400263829939</v>
      </c>
      <c r="P38" s="19">
        <f>J4</f>
        <v>39.174799999999998</v>
      </c>
      <c r="Q38" s="19">
        <f>N4</f>
        <v>11.417540717596328</v>
      </c>
      <c r="R38" s="19">
        <f>R4</f>
        <v>-56.896945027499783</v>
      </c>
      <c r="V38" s="19"/>
      <c r="W38" s="19">
        <f>G38</f>
        <v>-0.28401860465023882</v>
      </c>
      <c r="X38" s="19">
        <f>H38</f>
        <v>-7.22</v>
      </c>
      <c r="Y38" s="19">
        <f>I38</f>
        <v>-12.97069484861942</v>
      </c>
      <c r="Z38" s="19">
        <f>J38</f>
        <v>-19.48501237513468</v>
      </c>
      <c r="AA38" s="19">
        <f t="shared" ref="AA38" si="5">K38</f>
        <v>1.0789084678232117</v>
      </c>
      <c r="AB38" s="19">
        <f t="shared" ref="AB38" si="6">L38</f>
        <v>4.8440000000000003</v>
      </c>
      <c r="AC38" s="19">
        <f t="shared" ref="AC38" si="7">M38</f>
        <v>1.1696875162052303</v>
      </c>
      <c r="AD38" s="19">
        <f t="shared" ref="AD38" si="8">N38</f>
        <v>3.7326769477208401</v>
      </c>
      <c r="AE38" s="19">
        <f t="shared" ref="AE38:AF38" si="9">O38</f>
        <v>24.277400263829939</v>
      </c>
      <c r="AF38" s="19">
        <f t="shared" si="9"/>
        <v>39.174799999999998</v>
      </c>
      <c r="AG38" s="19">
        <f t="shared" ref="AG38" si="10">Q38</f>
        <v>11.417540717596328</v>
      </c>
      <c r="AH38" s="19">
        <f t="shared" ref="AH38" si="11">R38</f>
        <v>-56.896945027499783</v>
      </c>
      <c r="AI38" s="19"/>
    </row>
    <row r="39" spans="3:35" x14ac:dyDescent="0.25">
      <c r="C39" s="5"/>
      <c r="E39" s="15">
        <v>1</v>
      </c>
      <c r="F39" s="18" t="s">
        <v>95</v>
      </c>
      <c r="G39" s="19">
        <f>F5</f>
        <v>-0.35906173186932855</v>
      </c>
      <c r="H39" s="19">
        <f>J5</f>
        <v>-29.3386</v>
      </c>
      <c r="I39" s="19">
        <f>N5</f>
        <v>-17.913717134656476</v>
      </c>
      <c r="J39" s="19">
        <f>R5</f>
        <v>-29.122909483828117</v>
      </c>
      <c r="K39" s="19">
        <f>G5</f>
        <v>1.1140435410352743</v>
      </c>
      <c r="L39" s="19">
        <f t="shared" ref="L39" si="12">K5</f>
        <v>21.178000000000001</v>
      </c>
      <c r="M39" s="19">
        <f>O5</f>
        <v>1.6950906256512925</v>
      </c>
      <c r="N39" s="19">
        <f>S5</f>
        <v>6.00555563915702</v>
      </c>
      <c r="O39" s="19">
        <f>F6</f>
        <v>35.021705920763182</v>
      </c>
      <c r="P39" s="19">
        <f>J6</f>
        <v>47.827199999999998</v>
      </c>
      <c r="Q39" s="19">
        <f>N6</f>
        <v>15.33656264648833</v>
      </c>
      <c r="R39" s="19">
        <f>R6</f>
        <v>61.01364460877236</v>
      </c>
      <c r="W39" t="str">
        <f t="shared" ref="W39:W46" si="13">_xlfn.CONCAT(W38,", ",G39)</f>
        <v>-0.284018604650239, -0.359061731869329</v>
      </c>
      <c r="X39" t="str">
        <f t="shared" ref="X39:X46" si="14">_xlfn.CONCAT(X38,", ",H39)</f>
        <v>-7.22, -29.3386</v>
      </c>
      <c r="Y39" t="str">
        <f t="shared" ref="Y39:Y46" si="15">_xlfn.CONCAT(Y38,", ",I39)</f>
        <v>-12.9706948486194, -17.9137171346565</v>
      </c>
      <c r="Z39" t="str">
        <f t="shared" ref="Z39:Z46" si="16">_xlfn.CONCAT(Z38,", ",J39)</f>
        <v>-19.4850123751347, -29.1229094838281</v>
      </c>
      <c r="AA39" t="str">
        <f t="shared" ref="AA39:AA45" si="17">_xlfn.CONCAT(AA38,", ",K39)</f>
        <v>1.07890846782321, 1.11404354103527</v>
      </c>
      <c r="AB39" t="str">
        <f t="shared" ref="AB39:AB45" si="18">_xlfn.CONCAT(AB38,", ",L39)</f>
        <v>4.844, 21.178</v>
      </c>
      <c r="AC39" t="str">
        <f t="shared" ref="AC39:AC46" si="19">_xlfn.CONCAT(AC38,", ",M39)</f>
        <v>1.16968751620523, 1.69509062565129</v>
      </c>
      <c r="AD39" t="str">
        <f t="shared" ref="AD39:AD46" si="20">_xlfn.CONCAT(AD38,", ",N39)</f>
        <v>3.73267694772084, 6.00555563915702</v>
      </c>
      <c r="AE39" t="str">
        <f t="shared" ref="AE39:AE46" si="21">_xlfn.CONCAT(AE38,", ",O39)</f>
        <v>24.2774002638299, 35.0217059207632</v>
      </c>
      <c r="AF39" t="str">
        <f t="shared" ref="AF39:AF46" si="22">_xlfn.CONCAT(AF38,", ",P39)</f>
        <v>39.1748, 47.8272</v>
      </c>
      <c r="AG39" t="str">
        <f t="shared" ref="AG39:AG46" si="23">_xlfn.CONCAT(AG38,", ",Q39)</f>
        <v>11.4175407175963, 15.3365626464883</v>
      </c>
      <c r="AH39" t="str">
        <f t="shared" ref="AH39:AH46" si="24">_xlfn.CONCAT(AH38,", ",R39)</f>
        <v>-56.8969450274998, 61.0136446087724</v>
      </c>
    </row>
    <row r="40" spans="3:35" x14ac:dyDescent="0.25">
      <c r="C40" s="5"/>
      <c r="E40" s="15">
        <v>1</v>
      </c>
      <c r="F40" s="18" t="s">
        <v>96</v>
      </c>
      <c r="G40" s="19">
        <f>F7</f>
        <v>-54.733087117843382</v>
      </c>
      <c r="H40" s="19">
        <f>J7</f>
        <v>13.939399999999999</v>
      </c>
      <c r="I40" s="19">
        <f>N7</f>
        <v>-26.305194426215781</v>
      </c>
      <c r="J40" s="19">
        <f>R7</f>
        <v>-29.744531088816778</v>
      </c>
      <c r="K40" s="19">
        <f>G7</f>
        <v>5.3846296459764496</v>
      </c>
      <c r="L40" s="19">
        <f t="shared" ref="L40" si="25">K7</f>
        <v>18.564</v>
      </c>
      <c r="M40" s="19">
        <f>O7</f>
        <v>2.3690634994453781</v>
      </c>
      <c r="N40" s="19">
        <f>S7</f>
        <v>6.2514002521055447</v>
      </c>
      <c r="O40" s="19">
        <f>F8</f>
        <v>36.608491502644881</v>
      </c>
      <c r="P40" s="19">
        <f>J8</f>
        <v>45.547199999999997</v>
      </c>
      <c r="Q40" s="19">
        <f>N8</f>
        <v>-13.866929644665774</v>
      </c>
      <c r="R40" s="19">
        <f>R8</f>
        <v>53.71267799137236</v>
      </c>
      <c r="W40" t="str">
        <f t="shared" si="13"/>
        <v>-0.284018604650239, -0.359061731869329, -54.7330871178434</v>
      </c>
      <c r="X40" t="str">
        <f t="shared" si="14"/>
        <v>-7.22, -29.3386, 13.9394</v>
      </c>
      <c r="Y40" t="str">
        <f t="shared" si="15"/>
        <v>-12.9706948486194, -17.9137171346565, -26.3051944262158</v>
      </c>
      <c r="Z40" t="str">
        <f t="shared" si="16"/>
        <v>-19.4850123751347, -29.1229094838281, -29.7445310888168</v>
      </c>
      <c r="AA40" t="str">
        <f t="shared" si="17"/>
        <v>1.07890846782321, 1.11404354103527, 5.38462964597645</v>
      </c>
      <c r="AB40" t="str">
        <f t="shared" si="18"/>
        <v>4.844, 21.178, 18.564</v>
      </c>
      <c r="AC40" t="str">
        <f t="shared" si="19"/>
        <v>1.16968751620523, 1.69509062565129, 2.36906349944538</v>
      </c>
      <c r="AD40" t="str">
        <f t="shared" si="20"/>
        <v>3.73267694772084, 6.00555563915702, 6.25140025210554</v>
      </c>
      <c r="AE40" t="str">
        <f t="shared" si="21"/>
        <v>24.2774002638299, 35.0217059207632, 36.6084915026449</v>
      </c>
      <c r="AF40" t="str">
        <f t="shared" si="22"/>
        <v>39.1748, 47.8272, 45.5472</v>
      </c>
      <c r="AG40" t="str">
        <f t="shared" si="23"/>
        <v>11.4175407175963, 15.3365626464883, -13.8669296446658</v>
      </c>
      <c r="AH40" t="str">
        <f t="shared" si="24"/>
        <v>-56.8969450274998, 61.0136446087724, 53.7126779913724</v>
      </c>
    </row>
    <row r="41" spans="3:35" x14ac:dyDescent="0.25">
      <c r="C41" s="5"/>
      <c r="E41" s="15">
        <v>2</v>
      </c>
      <c r="F41" s="15" t="s">
        <v>97</v>
      </c>
      <c r="G41" s="19">
        <f>F11</f>
        <v>5.4262808404908727</v>
      </c>
      <c r="H41" s="19">
        <f>J11</f>
        <v>1.4774</v>
      </c>
      <c r="I41" s="19">
        <f>N11</f>
        <v>1.396209556636254</v>
      </c>
      <c r="J41" s="19">
        <f>R11</f>
        <v>11.795355597175135</v>
      </c>
      <c r="K41" s="19">
        <f>G11</f>
        <v>0.8443507457481727</v>
      </c>
      <c r="L41" s="19">
        <f t="shared" ref="L41" si="26">K11</f>
        <v>2.3180000000000001</v>
      </c>
      <c r="M41" s="19">
        <f>O11</f>
        <v>0.44438324079902825</v>
      </c>
      <c r="N41" s="19">
        <f>S11</f>
        <v>2.6349032836212483</v>
      </c>
      <c r="O41" s="19">
        <f>F12</f>
        <v>-2.4570899581361778</v>
      </c>
      <c r="P41" s="19">
        <f>J12</f>
        <v>5.6261999999999999</v>
      </c>
      <c r="Q41" s="19">
        <f>N12</f>
        <v>0.38731169942401383</v>
      </c>
      <c r="R41" s="19">
        <f>R12</f>
        <v>-3.103215382336864</v>
      </c>
      <c r="W41" t="str">
        <f t="shared" si="13"/>
        <v>-0.284018604650239, -0.359061731869329, -54.7330871178434, 5.42628084049087</v>
      </c>
      <c r="X41" t="str">
        <f t="shared" si="14"/>
        <v>-7.22, -29.3386, 13.9394, 1.4774</v>
      </c>
      <c r="Y41" t="str">
        <f t="shared" si="15"/>
        <v>-12.9706948486194, -17.9137171346565, -26.3051944262158, 1.39620955663625</v>
      </c>
      <c r="Z41" t="str">
        <f t="shared" si="16"/>
        <v>-19.4850123751347, -29.1229094838281, -29.7445310888168, 11.7953555971751</v>
      </c>
      <c r="AA41" t="str">
        <f t="shared" si="17"/>
        <v>1.07890846782321, 1.11404354103527, 5.38462964597645, 0.844350745748173</v>
      </c>
      <c r="AB41" t="str">
        <f t="shared" si="18"/>
        <v>4.844, 21.178, 18.564, 2.318</v>
      </c>
      <c r="AC41" t="str">
        <f t="shared" si="19"/>
        <v>1.16968751620523, 1.69509062565129, 2.36906349944538, 0.444383240799028</v>
      </c>
      <c r="AD41" t="str">
        <f t="shared" si="20"/>
        <v>3.73267694772084, 6.00555563915702, 6.25140025210554, 2.63490328362125</v>
      </c>
      <c r="AE41" t="str">
        <f t="shared" si="21"/>
        <v>24.2774002638299, 35.0217059207632, 36.6084915026449, -2.45708995813618</v>
      </c>
      <c r="AF41" t="str">
        <f t="shared" si="22"/>
        <v>39.1748, 47.8272, 45.5472, 5.6262</v>
      </c>
      <c r="AG41" t="str">
        <f t="shared" si="23"/>
        <v>11.4175407175963, 15.3365626464883, -13.8669296446658, 0.387311699424014</v>
      </c>
      <c r="AH41" t="str">
        <f t="shared" si="24"/>
        <v>-56.8969450274998, 61.0136446087724, 53.7126779913724, -3.10321538233686</v>
      </c>
    </row>
    <row r="42" spans="3:35" x14ac:dyDescent="0.25">
      <c r="C42" s="5"/>
      <c r="E42" s="15">
        <v>2</v>
      </c>
      <c r="F42" s="15" t="s">
        <v>98</v>
      </c>
      <c r="G42" s="19">
        <f>F13</f>
        <v>7.579189741232728</v>
      </c>
      <c r="H42" s="19">
        <f>J13</f>
        <v>14.771800000000001</v>
      </c>
      <c r="I42" s="19">
        <f>N13</f>
        <v>5.4728298321868563</v>
      </c>
      <c r="J42" s="19">
        <f>R13</f>
        <v>24.22206577229236</v>
      </c>
      <c r="K42" s="19">
        <f>G13</f>
        <v>1.0205742028328133</v>
      </c>
      <c r="L42" s="19">
        <f>K13</f>
        <v>11.054</v>
      </c>
      <c r="M42" s="19">
        <f>O13</f>
        <v>0.617509289698842</v>
      </c>
      <c r="N42" s="19">
        <f>S13</f>
        <v>5.0825635225110721</v>
      </c>
      <c r="O42" s="19">
        <f>F14</f>
        <v>8.3490064030723747</v>
      </c>
      <c r="P42" s="19">
        <f>J14</f>
        <v>9.7260000000000009</v>
      </c>
      <c r="Q42" s="19">
        <f>N14</f>
        <v>5.8480142428904482</v>
      </c>
      <c r="R42" s="19">
        <f>R14</f>
        <v>-19.717468762836951</v>
      </c>
      <c r="W42" t="str">
        <f t="shared" si="13"/>
        <v>-0.284018604650239, -0.359061731869329, -54.7330871178434, 5.42628084049087, 7.57918974123273</v>
      </c>
      <c r="X42" t="str">
        <f t="shared" si="14"/>
        <v>-7.22, -29.3386, 13.9394, 1.4774, 14.7718</v>
      </c>
      <c r="Y42" t="str">
        <f t="shared" si="15"/>
        <v>-12.9706948486194, -17.9137171346565, -26.3051944262158, 1.39620955663625, 5.47282983218686</v>
      </c>
      <c r="Z42" t="str">
        <f t="shared" si="16"/>
        <v>-19.4850123751347, -29.1229094838281, -29.7445310888168, 11.7953555971751, 24.2220657722924</v>
      </c>
      <c r="AA42" t="str">
        <f t="shared" si="17"/>
        <v>1.07890846782321, 1.11404354103527, 5.38462964597645, 0.844350745748173, 1.02057420283281</v>
      </c>
      <c r="AB42" t="str">
        <f t="shared" si="18"/>
        <v>4.844, 21.178, 18.564, 2.318, 11.054</v>
      </c>
      <c r="AC42" t="str">
        <f t="shared" si="19"/>
        <v>1.16968751620523, 1.69509062565129, 2.36906349944538, 0.444383240799028, 0.617509289698842</v>
      </c>
      <c r="AD42" t="str">
        <f t="shared" si="20"/>
        <v>3.73267694772084, 6.00555563915702, 6.25140025210554, 2.63490328362125, 5.08256352251107</v>
      </c>
      <c r="AE42" t="str">
        <f t="shared" si="21"/>
        <v>24.2774002638299, 35.0217059207632, 36.6084915026449, -2.45708995813618, 8.34900640307237</v>
      </c>
      <c r="AF42" t="str">
        <f t="shared" si="22"/>
        <v>39.1748, 47.8272, 45.5472, 5.6262, 9.726</v>
      </c>
      <c r="AG42" t="str">
        <f t="shared" si="23"/>
        <v>11.4175407175963, 15.3365626464883, -13.8669296446658, 0.387311699424014, 5.84801424289045</v>
      </c>
      <c r="AH42" t="str">
        <f t="shared" si="24"/>
        <v>-56.8969450274998, 61.0136446087724, 53.7126779913724, -3.10321538233686, -19.717468762837</v>
      </c>
    </row>
    <row r="43" spans="3:35" x14ac:dyDescent="0.25">
      <c r="C43" s="5"/>
      <c r="E43" s="15">
        <v>2</v>
      </c>
      <c r="F43" s="15" t="s">
        <v>99</v>
      </c>
      <c r="G43" s="19">
        <f>F15</f>
        <v>6.0144206526623361</v>
      </c>
      <c r="H43" s="19">
        <f>J15</f>
        <v>9.8591999999999995</v>
      </c>
      <c r="I43" s="19">
        <f>N15</f>
        <v>3.3044327533179203</v>
      </c>
      <c r="J43" s="19">
        <f>R15</f>
        <v>13.777282307285963</v>
      </c>
      <c r="K43" s="19">
        <f>G15</f>
        <v>0.87145111546340037</v>
      </c>
      <c r="L43" s="19">
        <f t="shared" ref="L43" si="27">K15</f>
        <v>7.7279999999999998</v>
      </c>
      <c r="M43" s="19">
        <f>O15</f>
        <v>0.5286950418381644</v>
      </c>
      <c r="N43" s="19">
        <f>S15</f>
        <v>2.9931692537709695</v>
      </c>
      <c r="O43" s="19">
        <f>F16</f>
        <v>2.0566593569160161</v>
      </c>
      <c r="P43" s="19">
        <f>J16</f>
        <v>17.250399999999999</v>
      </c>
      <c r="Q43" s="19">
        <f>N16</f>
        <v>5.2457445845001907</v>
      </c>
      <c r="R43" s="19">
        <f>R16</f>
        <v>2.2691528113441661</v>
      </c>
      <c r="W43" t="str">
        <f t="shared" si="13"/>
        <v>-0.284018604650239, -0.359061731869329, -54.7330871178434, 5.42628084049087, 7.57918974123273, 6.01442065266234</v>
      </c>
      <c r="X43" t="str">
        <f t="shared" si="14"/>
        <v>-7.22, -29.3386, 13.9394, 1.4774, 14.7718, 9.8592</v>
      </c>
      <c r="Y43" t="str">
        <f t="shared" si="15"/>
        <v>-12.9706948486194, -17.9137171346565, -26.3051944262158, 1.39620955663625, 5.47282983218686, 3.30443275331792</v>
      </c>
      <c r="Z43" t="str">
        <f t="shared" si="16"/>
        <v>-19.4850123751347, -29.1229094838281, -29.7445310888168, 11.7953555971751, 24.2220657722924, 13.777282307286</v>
      </c>
      <c r="AA43" t="str">
        <f t="shared" si="17"/>
        <v>1.07890846782321, 1.11404354103527, 5.38462964597645, 0.844350745748173, 1.02057420283281, 0.8714511154634</v>
      </c>
      <c r="AB43" t="str">
        <f t="shared" si="18"/>
        <v>4.844, 21.178, 18.564, 2.318, 11.054, 7.728</v>
      </c>
      <c r="AC43" t="str">
        <f t="shared" si="19"/>
        <v>1.16968751620523, 1.69509062565129, 2.36906349944538, 0.444383240799028, 0.617509289698842, 0.528695041838164</v>
      </c>
      <c r="AD43" t="str">
        <f t="shared" si="20"/>
        <v>3.73267694772084, 6.00555563915702, 6.25140025210554, 2.63490328362125, 5.08256352251107, 2.99316925377097</v>
      </c>
      <c r="AE43" t="str">
        <f t="shared" si="21"/>
        <v>24.2774002638299, 35.0217059207632, 36.6084915026449, -2.45708995813618, 8.34900640307237, 2.05665935691602</v>
      </c>
      <c r="AF43" t="str">
        <f t="shared" si="22"/>
        <v>39.1748, 47.8272, 45.5472, 5.6262, 9.726, 17.2504</v>
      </c>
      <c r="AG43" t="str">
        <f t="shared" si="23"/>
        <v>11.4175407175963, 15.3365626464883, -13.8669296446658, 0.387311699424014, 5.84801424289045, 5.24574458450019</v>
      </c>
      <c r="AH43" t="str">
        <f t="shared" si="24"/>
        <v>-56.8969450274998, 61.0136446087724, 53.7126779913724, -3.10321538233686, -19.717468762837, 2.26915281134417</v>
      </c>
    </row>
    <row r="44" spans="3:35" x14ac:dyDescent="0.25">
      <c r="C44" s="5"/>
      <c r="E44" s="15">
        <v>3</v>
      </c>
      <c r="F44" s="15" t="s">
        <v>27</v>
      </c>
      <c r="G44" s="19">
        <f>F17</f>
        <v>4.7361127699870078</v>
      </c>
      <c r="H44" s="19">
        <f>J17</f>
        <v>11.723000000000001</v>
      </c>
      <c r="I44" s="19">
        <f>N17</f>
        <v>2.4475027482445362</v>
      </c>
      <c r="J44" s="19">
        <f>R17</f>
        <v>12.021814080330133</v>
      </c>
      <c r="K44" s="19">
        <f>G17</f>
        <v>0.72491442546131934</v>
      </c>
      <c r="L44" s="19">
        <f t="shared" ref="L44" si="28">K17</f>
        <v>8.548</v>
      </c>
      <c r="M44" s="19">
        <f>O17</f>
        <v>0.43253542662968941</v>
      </c>
      <c r="N44" s="19">
        <f>S17</f>
        <v>2.6554064355926084</v>
      </c>
      <c r="O44" s="19">
        <f>F18</f>
        <v>5.5432764503642717</v>
      </c>
      <c r="P44" s="19">
        <f>J18</f>
        <v>-10.098800000000001</v>
      </c>
      <c r="Q44" s="19">
        <f>N18</f>
        <v>-4.8762988828209419</v>
      </c>
      <c r="R44" s="19">
        <f>R18</f>
        <v>15.492986531715463</v>
      </c>
      <c r="W44" t="str">
        <f t="shared" si="13"/>
        <v>-0.284018604650239, -0.359061731869329, -54.7330871178434, 5.42628084049087, 7.57918974123273, 6.01442065266234, 4.73611276998701</v>
      </c>
      <c r="X44" t="str">
        <f t="shared" si="14"/>
        <v>-7.22, -29.3386, 13.9394, 1.4774, 14.7718, 9.8592, 11.723</v>
      </c>
      <c r="Y44" t="str">
        <f t="shared" si="15"/>
        <v>-12.9706948486194, -17.9137171346565, -26.3051944262158, 1.39620955663625, 5.47282983218686, 3.30443275331792, 2.44750274824454</v>
      </c>
      <c r="Z44" t="str">
        <f t="shared" si="16"/>
        <v>-19.4850123751347, -29.1229094838281, -29.7445310888168, 11.7953555971751, 24.2220657722924, 13.777282307286, 12.0218140803301</v>
      </c>
      <c r="AA44" t="str">
        <f t="shared" si="17"/>
        <v>1.07890846782321, 1.11404354103527, 5.38462964597645, 0.844350745748173, 1.02057420283281, 0.8714511154634, 0.724914425461319</v>
      </c>
      <c r="AB44" t="str">
        <f t="shared" si="18"/>
        <v>4.844, 21.178, 18.564, 2.318, 11.054, 7.728, 8.548</v>
      </c>
      <c r="AC44" t="str">
        <f t="shared" si="19"/>
        <v>1.16968751620523, 1.69509062565129, 2.36906349944538, 0.444383240799028, 0.617509289698842, 0.528695041838164, 0.432535426629689</v>
      </c>
      <c r="AD44" t="str">
        <f t="shared" si="20"/>
        <v>3.73267694772084, 6.00555563915702, 6.25140025210554, 2.63490328362125, 5.08256352251107, 2.99316925377097, 2.65540643559261</v>
      </c>
      <c r="AE44" t="str">
        <f t="shared" si="21"/>
        <v>24.2774002638299, 35.0217059207632, 36.6084915026449, -2.45708995813618, 8.34900640307237, 2.05665935691602, 5.54327645036427</v>
      </c>
      <c r="AF44" t="str">
        <f t="shared" si="22"/>
        <v>39.1748, 47.8272, 45.5472, 5.6262, 9.726, 17.2504, -10.0988</v>
      </c>
      <c r="AG44" t="str">
        <f t="shared" si="23"/>
        <v>11.4175407175963, 15.3365626464883, -13.8669296446658, 0.387311699424014, 5.84801424289045, 5.24574458450019, -4.87629888282094</v>
      </c>
      <c r="AH44" t="str">
        <f t="shared" si="24"/>
        <v>-56.8969450274998, 61.0136446087724, 53.7126779913724, -3.10321538233686, -19.717468762837, 2.26915281134417, 15.4929865317155</v>
      </c>
    </row>
    <row r="45" spans="3:35" x14ac:dyDescent="0.25">
      <c r="C45" s="5"/>
      <c r="E45" s="15">
        <v>3</v>
      </c>
      <c r="F45" s="15" t="s">
        <v>29</v>
      </c>
      <c r="G45" s="19">
        <f>F19</f>
        <v>1.5619947908600014</v>
      </c>
      <c r="H45" s="19">
        <f>J19</f>
        <v>3.5821999999999998</v>
      </c>
      <c r="I45" s="19">
        <f>N19</f>
        <v>0.42706393339913301</v>
      </c>
      <c r="J45" s="19">
        <f>R19</f>
        <v>2.994641785373318</v>
      </c>
      <c r="K45" s="19">
        <f>G19</f>
        <v>0.51273650434816886</v>
      </c>
      <c r="L45" s="19">
        <f t="shared" ref="L45" si="29">K19</f>
        <v>3.19</v>
      </c>
      <c r="M45" s="19">
        <f>O19</f>
        <v>0.35904956182222558</v>
      </c>
      <c r="N45" s="19">
        <f>S19</f>
        <v>0.9185612990113281</v>
      </c>
      <c r="O45" s="19">
        <f>F20</f>
        <v>0.92705174244341382</v>
      </c>
      <c r="P45" s="19">
        <f>J20</f>
        <v>5.5970000000000004</v>
      </c>
      <c r="Q45" s="19">
        <f>N20</f>
        <v>-3.4560270345905018</v>
      </c>
      <c r="R45" s="19">
        <f>R20</f>
        <v>-8.0298025256088295</v>
      </c>
      <c r="W45" t="str">
        <f t="shared" si="13"/>
        <v>-0.284018604650239, -0.359061731869329, -54.7330871178434, 5.42628084049087, 7.57918974123273, 6.01442065266234, 4.73611276998701, 1.56199479086</v>
      </c>
      <c r="X45" t="str">
        <f t="shared" si="14"/>
        <v>-7.22, -29.3386, 13.9394, 1.4774, 14.7718, 9.8592, 11.723, 3.5822</v>
      </c>
      <c r="Y45" t="str">
        <f t="shared" si="15"/>
        <v>-12.9706948486194, -17.9137171346565, -26.3051944262158, 1.39620955663625, 5.47282983218686, 3.30443275331792, 2.44750274824454, 0.427063933399133</v>
      </c>
      <c r="Z45" t="str">
        <f t="shared" si="16"/>
        <v>-19.4850123751347, -29.1229094838281, -29.7445310888168, 11.7953555971751, 24.2220657722924, 13.777282307286, 12.0218140803301, 2.99464178537332</v>
      </c>
      <c r="AA45" t="str">
        <f t="shared" si="17"/>
        <v>1.07890846782321, 1.11404354103527, 5.38462964597645, 0.844350745748173, 1.02057420283281, 0.8714511154634, 0.724914425461319, 0.512736504348169</v>
      </c>
      <c r="AB45" t="str">
        <f t="shared" si="18"/>
        <v>4.844, 21.178, 18.564, 2.318, 11.054, 7.728, 8.548, 3.19</v>
      </c>
      <c r="AC45" t="str">
        <f t="shared" si="19"/>
        <v>1.16968751620523, 1.69509062565129, 2.36906349944538, 0.444383240799028, 0.617509289698842, 0.528695041838164, 0.432535426629689, 0.359049561822226</v>
      </c>
      <c r="AD45" t="str">
        <f t="shared" si="20"/>
        <v>3.73267694772084, 6.00555563915702, 6.25140025210554, 2.63490328362125, 5.08256352251107, 2.99316925377097, 2.65540643559261, 0.918561299011328</v>
      </c>
      <c r="AE45" t="str">
        <f t="shared" si="21"/>
        <v>24.2774002638299, 35.0217059207632, 36.6084915026449, -2.45708995813618, 8.34900640307237, 2.05665935691602, 5.54327645036427, 0.927051742443414</v>
      </c>
      <c r="AF45" t="str">
        <f t="shared" si="22"/>
        <v>39.1748, 47.8272, 45.5472, 5.6262, 9.726, 17.2504, -10.0988, 5.597</v>
      </c>
      <c r="AG45" t="str">
        <f t="shared" si="23"/>
        <v>11.4175407175963, 15.3365626464883, -13.8669296446658, 0.387311699424014, 5.84801424289045, 5.24574458450019, -4.87629888282094, -3.4560270345905</v>
      </c>
      <c r="AH45" t="str">
        <f t="shared" si="24"/>
        <v>-56.8969450274998, 61.0136446087724, 53.7126779913724, -3.10321538233686, -19.717468762837, 2.26915281134417, 15.4929865317155, -8.02980252560883</v>
      </c>
    </row>
    <row r="46" spans="3:35" x14ac:dyDescent="0.25">
      <c r="C46" s="5"/>
      <c r="E46" s="15">
        <v>4</v>
      </c>
      <c r="F46" s="15" t="s">
        <v>100</v>
      </c>
      <c r="G46" s="19">
        <f>F21</f>
        <v>-1.5072445974617361</v>
      </c>
      <c r="H46" s="19">
        <f>J21</f>
        <v>-10.3736</v>
      </c>
      <c r="I46" s="19">
        <f>N21</f>
        <v>-1.41378537195885</v>
      </c>
      <c r="J46" s="19">
        <f>R21</f>
        <v>-2.1576908707137581</v>
      </c>
      <c r="K46" s="19">
        <f>G21</f>
        <v>0.49345665788941884</v>
      </c>
      <c r="L46" s="19">
        <f t="shared" ref="L46" si="30">K21</f>
        <v>8.1940000000000008</v>
      </c>
      <c r="M46" s="19">
        <f>O21</f>
        <v>0.35981220770809041</v>
      </c>
      <c r="N46" s="19">
        <f>S21</f>
        <v>0.7599347758742282</v>
      </c>
      <c r="O46" s="19">
        <f>F22</f>
        <v>5.2778546500143966</v>
      </c>
      <c r="P46" s="19">
        <f>J22</f>
        <v>-11.94</v>
      </c>
      <c r="Q46" s="19">
        <f>N22</f>
        <v>4.1497441559027681</v>
      </c>
      <c r="R46" s="19">
        <f>R22</f>
        <v>-1.9092108396274954</v>
      </c>
      <c r="W46" t="str">
        <f t="shared" si="13"/>
        <v>-0.284018604650239, -0.359061731869329, -54.7330871178434, 5.42628084049087, 7.57918974123273, 6.01442065266234, 4.73611276998701, 1.56199479086, -1.50724459746174</v>
      </c>
      <c r="X46" t="str">
        <f t="shared" si="14"/>
        <v>-7.22, -29.3386, 13.9394, 1.4774, 14.7718, 9.8592, 11.723, 3.5822, -10.3736</v>
      </c>
      <c r="Y46" t="str">
        <f t="shared" si="15"/>
        <v>-12.9706948486194, -17.9137171346565, -26.3051944262158, 1.39620955663625, 5.47282983218686, 3.30443275331792, 2.44750274824454, 0.427063933399133, -1.41378537195885</v>
      </c>
      <c r="Z46" t="str">
        <f t="shared" si="16"/>
        <v>-19.4850123751347, -29.1229094838281, -29.7445310888168, 11.7953555971751, 24.2220657722924, 13.777282307286, 12.0218140803301, 2.99464178537332, -2.15769087071376</v>
      </c>
      <c r="AA46" t="str">
        <f>_xlfn.CONCAT(AA45,", ",K46)</f>
        <v>1.07890846782321, 1.11404354103527, 5.38462964597645, 0.844350745748173, 1.02057420283281, 0.8714511154634, 0.724914425461319, 0.512736504348169, 0.493456657889419</v>
      </c>
      <c r="AB46" t="str">
        <f>_xlfn.CONCAT(AB45,", ",L46)</f>
        <v>4.844, 21.178, 18.564, 2.318, 11.054, 7.728, 8.548, 3.19, 8.194</v>
      </c>
      <c r="AC46" t="str">
        <f t="shared" si="19"/>
        <v>1.16968751620523, 1.69509062565129, 2.36906349944538, 0.444383240799028, 0.617509289698842, 0.528695041838164, 0.432535426629689, 0.359049561822226, 0.35981220770809</v>
      </c>
      <c r="AD46" t="str">
        <f t="shared" si="20"/>
        <v>3.73267694772084, 6.00555563915702, 6.25140025210554, 2.63490328362125, 5.08256352251107, 2.99316925377097, 2.65540643559261, 0.918561299011328, 0.759934775874228</v>
      </c>
      <c r="AE46" t="str">
        <f t="shared" si="21"/>
        <v>24.2774002638299, 35.0217059207632, 36.6084915026449, -2.45708995813618, 8.34900640307237, 2.05665935691602, 5.54327645036427, 0.927051742443414, 5.2778546500144</v>
      </c>
      <c r="AF46" t="str">
        <f t="shared" si="22"/>
        <v>39.1748, 47.8272, 45.5472, 5.6262, 9.726, 17.2504, -10.0988, 5.597, -11.94</v>
      </c>
      <c r="AG46" t="str">
        <f t="shared" si="23"/>
        <v>11.4175407175963, 15.3365626464883, -13.8669296446658, 0.387311699424014, 5.84801424289045, 5.24574458450019, -4.87629888282094, -3.4560270345905, 4.14974415590277</v>
      </c>
      <c r="AH46" t="str">
        <f t="shared" si="24"/>
        <v>-56.8969450274998, 61.0136446087724, 53.7126779913724, -3.10321538233686, -19.717468762837, 2.26915281134417, 15.4929865317155, -8.02980252560883, -1.9092108396275</v>
      </c>
    </row>
    <row r="47" spans="3:35" x14ac:dyDescent="0.25">
      <c r="C47" s="5"/>
      <c r="E47" s="15">
        <v>4</v>
      </c>
      <c r="F47" s="15" t="s">
        <v>101</v>
      </c>
      <c r="G47" s="19">
        <f>F23</f>
        <v>-1.8345755019928611</v>
      </c>
      <c r="H47" s="19">
        <f>J23</f>
        <v>-9.2729999999999997</v>
      </c>
      <c r="I47" s="19">
        <f>N23</f>
        <v>-1.6678261565598249</v>
      </c>
      <c r="J47" s="19">
        <f>R23</f>
        <v>-3.4070680826160382</v>
      </c>
      <c r="K47" s="19">
        <f>G23</f>
        <v>0.52108951008892446</v>
      </c>
      <c r="L47" s="19">
        <f t="shared" ref="L47" si="31">K23</f>
        <v>7.1180000000000003</v>
      </c>
      <c r="M47" s="19">
        <f>O23</f>
        <v>0.3658440551071046</v>
      </c>
      <c r="N47" s="19">
        <f>S23</f>
        <v>0.96544699777104792</v>
      </c>
      <c r="O47" s="19">
        <f>F24</f>
        <v>-9.2708670793003023</v>
      </c>
      <c r="P47" s="19">
        <f>J24</f>
        <v>18.125</v>
      </c>
      <c r="Q47" s="19">
        <f>N24</f>
        <v>5.2200767227951719</v>
      </c>
      <c r="R47" s="19">
        <f>R24</f>
        <v>-6.5888410182026362</v>
      </c>
      <c r="W47" s="10" t="s">
        <v>116</v>
      </c>
      <c r="X47" s="10" t="s">
        <v>117</v>
      </c>
      <c r="Y47" s="10" t="s">
        <v>118</v>
      </c>
      <c r="Z47" s="10" t="s">
        <v>119</v>
      </c>
      <c r="AA47" s="26" t="s">
        <v>125</v>
      </c>
      <c r="AB47" s="26" t="s">
        <v>126</v>
      </c>
      <c r="AC47" s="26" t="s">
        <v>120</v>
      </c>
      <c r="AD47" s="26" t="s">
        <v>127</v>
      </c>
      <c r="AE47" s="27" t="s">
        <v>121</v>
      </c>
      <c r="AF47" s="27" t="s">
        <v>122</v>
      </c>
      <c r="AG47" s="27" t="s">
        <v>123</v>
      </c>
      <c r="AH47" s="27" t="s">
        <v>124</v>
      </c>
    </row>
    <row r="48" spans="3:35" x14ac:dyDescent="0.25">
      <c r="C48" s="5"/>
      <c r="E48" s="15">
        <v>5</v>
      </c>
      <c r="F48" s="15" t="s">
        <v>102</v>
      </c>
      <c r="G48" s="19">
        <f>F27</f>
        <v>-54.44906851319314</v>
      </c>
      <c r="H48" s="19">
        <f>J27</f>
        <v>0</v>
      </c>
      <c r="I48" s="19">
        <f>N27</f>
        <v>-13.334499577596366</v>
      </c>
      <c r="J48" s="19">
        <f>R27</f>
        <v>-10.259518713682098</v>
      </c>
      <c r="K48" s="19">
        <f>G27</f>
        <v>9.0184016703619037</v>
      </c>
      <c r="L48" s="19">
        <f t="shared" ref="L48" si="32">K27</f>
        <v>0</v>
      </c>
      <c r="M48" s="19">
        <f>O27</f>
        <v>2.0846556539829479</v>
      </c>
      <c r="N48" s="19">
        <f>S27</f>
        <v>2.7858484667341701</v>
      </c>
      <c r="O48" s="19"/>
      <c r="R48" s="19"/>
      <c r="S48" s="19"/>
      <c r="T48" s="19"/>
      <c r="U48" s="19"/>
      <c r="AA48" s="16"/>
    </row>
    <row r="49" spans="3:27" x14ac:dyDescent="0.25">
      <c r="C49" s="5"/>
      <c r="E49" s="15">
        <v>5</v>
      </c>
      <c r="F49" s="15" t="s">
        <v>103</v>
      </c>
      <c r="G49" s="19">
        <f>F28</f>
        <v>-54.374025385974036</v>
      </c>
      <c r="H49" s="19">
        <f>J28</f>
        <v>0</v>
      </c>
      <c r="I49" s="19">
        <f>N28</f>
        <v>-8.3914772915593101</v>
      </c>
      <c r="J49" s="19">
        <f>R28</f>
        <v>-0.62162160498865138</v>
      </c>
      <c r="K49" s="19">
        <f>G28</f>
        <v>8.5482628174341837</v>
      </c>
      <c r="L49" s="19">
        <f t="shared" ref="L49" si="33">K28</f>
        <v>0</v>
      </c>
      <c r="M49" s="19">
        <f>O28</f>
        <v>1.8529636007924013</v>
      </c>
      <c r="N49" s="19">
        <f>S28</f>
        <v>2.278271565934106</v>
      </c>
      <c r="O49" s="19"/>
      <c r="AA49" s="16"/>
    </row>
    <row r="50" spans="3:27" ht="15.75" thickBot="1" x14ac:dyDescent="0.3">
      <c r="C50" s="5"/>
      <c r="E50" s="20">
        <v>5</v>
      </c>
      <c r="F50" s="20" t="s">
        <v>104</v>
      </c>
      <c r="G50" s="19">
        <f>F29</f>
        <v>7.5043127219089859E-2</v>
      </c>
      <c r="H50" s="19">
        <f>J29</f>
        <v>0</v>
      </c>
      <c r="I50" s="19">
        <f>N29</f>
        <v>4.9430222860370563</v>
      </c>
      <c r="J50" s="19">
        <f>R29</f>
        <v>9.6378971086934477</v>
      </c>
      <c r="K50" s="19">
        <f>G29</f>
        <v>1.4627398690125057</v>
      </c>
      <c r="L50" s="19">
        <f t="shared" ref="L50" si="34">K29</f>
        <v>0</v>
      </c>
      <c r="M50" s="19">
        <f>O29</f>
        <v>1.5533925222294662</v>
      </c>
      <c r="N50" s="19">
        <f>S29</f>
        <v>2.1739561092698483</v>
      </c>
      <c r="O50" s="21"/>
      <c r="R50" s="22"/>
      <c r="S50" s="21"/>
      <c r="T50" s="21"/>
      <c r="U50" s="22"/>
      <c r="V50" s="22"/>
      <c r="W50" s="22"/>
      <c r="X50" s="22"/>
      <c r="Y50" s="22"/>
      <c r="Z50" s="22"/>
      <c r="AA50" s="23"/>
    </row>
    <row r="51" spans="3:27" x14ac:dyDescent="0.25">
      <c r="C51" s="5"/>
    </row>
    <row r="52" spans="3:27" x14ac:dyDescent="0.25">
      <c r="C52" s="5"/>
    </row>
    <row r="53" spans="3:27" x14ac:dyDescent="0.25">
      <c r="C53" s="5"/>
    </row>
    <row r="54" spans="3:27" x14ac:dyDescent="0.25">
      <c r="C54" s="5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38"/>
  <sheetViews>
    <sheetView topLeftCell="C1" workbookViewId="0">
      <selection activeCell="U4" sqref="U4"/>
    </sheetView>
  </sheetViews>
  <sheetFormatPr defaultColWidth="9" defaultRowHeight="15" x14ac:dyDescent="0.25"/>
  <cols>
    <col min="1" max="1" width="9.85546875" customWidth="1"/>
    <col min="2" max="2" width="6.85546875" hidden="1" customWidth="1"/>
    <col min="3" max="3" width="28.28515625" customWidth="1"/>
    <col min="6" max="6" width="15.42578125" customWidth="1"/>
  </cols>
  <sheetData>
    <row r="1" spans="1:21" x14ac:dyDescent="0.25">
      <c r="B1" t="s">
        <v>35</v>
      </c>
      <c r="F1" s="2" t="s">
        <v>0</v>
      </c>
      <c r="G1" s="1"/>
      <c r="J1" s="1" t="s">
        <v>1</v>
      </c>
      <c r="N1" s="1" t="s">
        <v>2</v>
      </c>
      <c r="R1" s="8" t="s">
        <v>81</v>
      </c>
    </row>
    <row r="2" spans="1:21" x14ac:dyDescent="0.25">
      <c r="A2" s="2"/>
      <c r="C2" t="s">
        <v>3</v>
      </c>
      <c r="F2" t="s">
        <v>4</v>
      </c>
      <c r="G2" t="s">
        <v>5</v>
      </c>
      <c r="H2" t="s">
        <v>6</v>
      </c>
      <c r="J2" t="s">
        <v>4</v>
      </c>
      <c r="K2" t="s">
        <v>5</v>
      </c>
      <c r="L2" t="s">
        <v>6</v>
      </c>
      <c r="N2" t="s">
        <v>4</v>
      </c>
      <c r="O2" t="s">
        <v>5</v>
      </c>
      <c r="P2" t="s">
        <v>6</v>
      </c>
      <c r="R2" t="s">
        <v>4</v>
      </c>
      <c r="S2" t="s">
        <v>5</v>
      </c>
      <c r="T2" t="s">
        <v>6</v>
      </c>
    </row>
    <row r="3" spans="1:21" x14ac:dyDescent="0.25">
      <c r="A3" s="2" t="s">
        <v>51</v>
      </c>
    </row>
    <row r="4" spans="1:21" x14ac:dyDescent="0.25">
      <c r="A4" s="2"/>
      <c r="B4" s="4" t="s">
        <v>13</v>
      </c>
      <c r="C4" t="s">
        <v>57</v>
      </c>
      <c r="F4">
        <v>4.9730594670542363</v>
      </c>
      <c r="G4">
        <v>3.1019708681880545</v>
      </c>
      <c r="H4">
        <v>32.063869574372475</v>
      </c>
      <c r="I4" t="str">
        <f>IF(ABS(H4)&gt;2.576,"***",IF(ABS(H4)&gt;1.96,"**",IF(ABS(H4)&gt;1.645,"*","")))</f>
        <v>***</v>
      </c>
      <c r="J4" s="9" t="s">
        <v>82</v>
      </c>
      <c r="N4">
        <v>-13.071909428734925</v>
      </c>
      <c r="O4">
        <v>2.2130005074804178</v>
      </c>
      <c r="P4">
        <v>-118.13742820707957</v>
      </c>
      <c r="Q4" t="str">
        <f>IF(ABS(P4)&gt;2.576,"***",IF(ABS(P4)&gt;1.96,"**",IF(ABS(P4)&gt;1.645,"*","")))</f>
        <v>***</v>
      </c>
      <c r="R4">
        <v>-34.680472623381384</v>
      </c>
      <c r="S4">
        <v>14.933787298364777</v>
      </c>
      <c r="T4">
        <v>-46.445649627243341</v>
      </c>
      <c r="U4" t="str">
        <f>IF(ABS(T4)&gt;2.576,"***",IF(ABS(T4)&gt;1.96,"**",IF(ABS(T4)&gt;1.645,"*","")))</f>
        <v>***</v>
      </c>
    </row>
    <row r="5" spans="1:21" x14ac:dyDescent="0.25">
      <c r="A5" s="2"/>
      <c r="C5" t="s">
        <v>58</v>
      </c>
      <c r="F5">
        <v>-34.539408260867923</v>
      </c>
      <c r="G5">
        <v>8.8059734162712875</v>
      </c>
      <c r="H5">
        <v>-78.445406607854437</v>
      </c>
      <c r="I5" t="str">
        <f t="shared" ref="I5:I28" si="0">IF(ABS(H5)&gt;2.576,"***",IF(ABS(H5)&gt;1.96,"**",IF(ABS(H5)&gt;1.645,"*","")))</f>
        <v>***</v>
      </c>
      <c r="N5">
        <v>-13.429718712857902</v>
      </c>
      <c r="O5">
        <v>2.4336222337411479</v>
      </c>
      <c r="P5">
        <v>-110.36814610468713</v>
      </c>
      <c r="Q5" t="str">
        <f t="shared" ref="Q5:Q28" si="1">IF(ABS(P5)&gt;2.576,"***",IF(ABS(P5)&gt;1.96,"**",IF(ABS(P5)&gt;1.645,"*","")))</f>
        <v>***</v>
      </c>
      <c r="R5">
        <v>-68.507664391873178</v>
      </c>
      <c r="S5">
        <v>30.000480033406479</v>
      </c>
      <c r="T5">
        <v>-45.671045473664236</v>
      </c>
      <c r="U5" t="str">
        <f t="shared" ref="U5:U28" si="2">IF(ABS(T5)&gt;2.576,"***",IF(ABS(T5)&gt;1.96,"**",IF(ABS(T5)&gt;1.645,"*","")))</f>
        <v>***</v>
      </c>
    </row>
    <row r="6" spans="1:21" x14ac:dyDescent="0.25">
      <c r="A6" s="2"/>
      <c r="B6" s="4" t="s">
        <v>15</v>
      </c>
      <c r="C6" t="s">
        <v>59</v>
      </c>
      <c r="F6">
        <v>1.1113629455879783</v>
      </c>
      <c r="G6">
        <v>2.4999326769039678</v>
      </c>
      <c r="H6">
        <v>8.8911429964133397</v>
      </c>
      <c r="I6" t="str">
        <f t="shared" si="0"/>
        <v>***</v>
      </c>
      <c r="N6">
        <v>-17.569235083998393</v>
      </c>
      <c r="O6">
        <v>3.0627731785106285</v>
      </c>
      <c r="P6">
        <v>-114.72762793712326</v>
      </c>
      <c r="Q6" t="str">
        <f t="shared" si="1"/>
        <v>***</v>
      </c>
      <c r="R6">
        <v>-29.163777436765002</v>
      </c>
      <c r="S6">
        <v>12.72201934599738</v>
      </c>
      <c r="T6">
        <v>-45.847717478814459</v>
      </c>
      <c r="U6" t="str">
        <f t="shared" si="2"/>
        <v>***</v>
      </c>
    </row>
    <row r="7" spans="1:21" x14ac:dyDescent="0.25">
      <c r="A7" s="2"/>
      <c r="C7" t="s">
        <v>60</v>
      </c>
      <c r="F7">
        <v>-38.836107885850943</v>
      </c>
      <c r="G7">
        <v>9.8598318372973175</v>
      </c>
      <c r="H7">
        <v>-78.776410240473865</v>
      </c>
      <c r="I7" t="str">
        <f t="shared" si="0"/>
        <v>***</v>
      </c>
      <c r="N7">
        <v>16.867056799299583</v>
      </c>
      <c r="O7">
        <v>2.875527935535052</v>
      </c>
      <c r="P7">
        <v>117.31450486612032</v>
      </c>
      <c r="Q7" t="str">
        <f t="shared" si="1"/>
        <v>***</v>
      </c>
      <c r="R7">
        <v>-71.513488699955857</v>
      </c>
      <c r="S7">
        <v>31.885578865477079</v>
      </c>
      <c r="T7">
        <v>-44.856321412050264</v>
      </c>
      <c r="U7" t="str">
        <f t="shared" si="2"/>
        <v>***</v>
      </c>
    </row>
    <row r="8" spans="1:21" x14ac:dyDescent="0.25">
      <c r="A8" s="2"/>
      <c r="B8" s="4" t="s">
        <v>17</v>
      </c>
      <c r="C8" t="s">
        <v>61</v>
      </c>
      <c r="F8">
        <v>-58.157444369962477</v>
      </c>
      <c r="G8">
        <v>13.481263421046046</v>
      </c>
      <c r="H8">
        <v>-86.278922907434549</v>
      </c>
      <c r="I8" t="str">
        <f t="shared" si="0"/>
        <v>***</v>
      </c>
      <c r="N8">
        <v>-30.207851271999601</v>
      </c>
      <c r="O8">
        <v>5.0336079777138369</v>
      </c>
      <c r="P8">
        <v>-120.02464794932004</v>
      </c>
      <c r="Q8" t="str">
        <f t="shared" si="1"/>
        <v>***</v>
      </c>
      <c r="R8">
        <v>-52.696284479915207</v>
      </c>
      <c r="S8">
        <v>22.4681269010031</v>
      </c>
      <c r="T8">
        <v>-46.907590216220939</v>
      </c>
      <c r="U8" t="str">
        <f t="shared" si="2"/>
        <v>***</v>
      </c>
    </row>
    <row r="9" spans="1:21" x14ac:dyDescent="0.25">
      <c r="A9" s="2"/>
      <c r="C9" t="s">
        <v>62</v>
      </c>
      <c r="F9">
        <v>-42.474317033909237</v>
      </c>
      <c r="G9">
        <v>10.238597946264905</v>
      </c>
      <c r="H9">
        <v>-82.969010516530929</v>
      </c>
      <c r="I9" t="str">
        <f t="shared" si="0"/>
        <v>***</v>
      </c>
      <c r="N9">
        <v>16.456969903669268</v>
      </c>
      <c r="O9">
        <v>2.9683725159601257</v>
      </c>
      <c r="P9">
        <v>110.88210671123417</v>
      </c>
      <c r="Q9" t="str">
        <f t="shared" si="1"/>
        <v>***</v>
      </c>
      <c r="R9">
        <v>36.343274548944805</v>
      </c>
      <c r="S9">
        <v>15.9561828496168</v>
      </c>
      <c r="T9">
        <v>45.553845667815978</v>
      </c>
      <c r="U9" t="str">
        <f t="shared" si="2"/>
        <v>***</v>
      </c>
    </row>
    <row r="10" spans="1:21" x14ac:dyDescent="0.25">
      <c r="A10" s="2"/>
      <c r="C10" t="s">
        <v>48</v>
      </c>
      <c r="F10">
        <v>17.330538897194621</v>
      </c>
      <c r="G10">
        <v>5.047641854302988</v>
      </c>
      <c r="H10">
        <v>68.667862726515636</v>
      </c>
      <c r="I10" t="str">
        <f t="shared" si="0"/>
        <v>***</v>
      </c>
      <c r="N10">
        <v>27.413071138143739</v>
      </c>
      <c r="O10">
        <v>3.5789683678899498</v>
      </c>
      <c r="P10">
        <v>153.18979281342826</v>
      </c>
      <c r="Q10" t="str">
        <f t="shared" si="1"/>
        <v>***</v>
      </c>
      <c r="R10">
        <v>9.4138155040020699</v>
      </c>
      <c r="S10">
        <v>8.9128831018454804</v>
      </c>
      <c r="T10">
        <v>21.124063664770539</v>
      </c>
      <c r="U10" t="str">
        <f t="shared" si="2"/>
        <v>***</v>
      </c>
    </row>
    <row r="11" spans="1:21" x14ac:dyDescent="0.25">
      <c r="A11" s="2"/>
      <c r="C11" t="s">
        <v>49</v>
      </c>
      <c r="F11">
        <v>-19.223569347184938</v>
      </c>
      <c r="G11">
        <v>2.1286996351089078</v>
      </c>
      <c r="H11">
        <v>-180.61326295291462</v>
      </c>
      <c r="I11" t="str">
        <f t="shared" si="0"/>
        <v>***</v>
      </c>
      <c r="N11">
        <v>-16.72327147952215</v>
      </c>
      <c r="O11">
        <v>2.1470469605993299</v>
      </c>
      <c r="P11">
        <v>-155.77927997302848</v>
      </c>
      <c r="Q11" t="str">
        <f t="shared" si="1"/>
        <v>***</v>
      </c>
      <c r="R11">
        <v>24.686411460445861</v>
      </c>
      <c r="S11">
        <v>2.3680143304727301</v>
      </c>
      <c r="T11">
        <v>208.49883501775662</v>
      </c>
      <c r="U11" t="str">
        <f t="shared" si="2"/>
        <v>***</v>
      </c>
    </row>
    <row r="12" spans="1:21" x14ac:dyDescent="0.25">
      <c r="B12" t="s">
        <v>21</v>
      </c>
      <c r="C12" t="s">
        <v>63</v>
      </c>
      <c r="F12">
        <v>4.3510858481855283</v>
      </c>
      <c r="G12">
        <v>1.9357352105024845</v>
      </c>
      <c r="H12">
        <v>44.955382581030385</v>
      </c>
      <c r="I12" t="str">
        <f t="shared" si="0"/>
        <v>***</v>
      </c>
      <c r="N12">
        <v>3.1012986154799038</v>
      </c>
      <c r="O12">
        <v>0.97651340423615118</v>
      </c>
      <c r="P12">
        <v>63.51778894229934</v>
      </c>
      <c r="Q12" t="str">
        <f t="shared" si="1"/>
        <v>***</v>
      </c>
      <c r="R12">
        <v>12.859726365132545</v>
      </c>
      <c r="S12">
        <v>6.1091206597438763</v>
      </c>
      <c r="T12">
        <v>42.100089624589884</v>
      </c>
      <c r="U12" t="str">
        <f t="shared" si="2"/>
        <v>***</v>
      </c>
    </row>
    <row r="13" spans="1:21" x14ac:dyDescent="0.25">
      <c r="C13" t="s">
        <v>64</v>
      </c>
      <c r="F13">
        <v>-7.9405055909182547</v>
      </c>
      <c r="G13">
        <v>2.7743070133403158</v>
      </c>
      <c r="H13">
        <v>-57.24316416846554</v>
      </c>
      <c r="I13" t="str">
        <f t="shared" si="0"/>
        <v>***</v>
      </c>
      <c r="N13">
        <v>-2.2585450100117459</v>
      </c>
      <c r="O13">
        <v>1.5476493061027807</v>
      </c>
      <c r="P13">
        <v>-29.186780249320318</v>
      </c>
      <c r="Q13" t="str">
        <f t="shared" si="1"/>
        <v>***</v>
      </c>
      <c r="R13">
        <v>-5.6650876263172103</v>
      </c>
      <c r="S13">
        <v>3.3128971576082562</v>
      </c>
      <c r="T13">
        <v>-34.200202160257319</v>
      </c>
      <c r="U13" t="str">
        <f t="shared" si="2"/>
        <v>***</v>
      </c>
    </row>
    <row r="14" spans="1:21" x14ac:dyDescent="0.25">
      <c r="B14" t="s">
        <v>23</v>
      </c>
      <c r="C14" t="s">
        <v>65</v>
      </c>
      <c r="F14">
        <v>6.6793160531735261</v>
      </c>
      <c r="G14">
        <v>2.1792401686740801</v>
      </c>
      <c r="H14">
        <v>61.299494651270464</v>
      </c>
      <c r="I14" t="str">
        <f t="shared" si="0"/>
        <v>***</v>
      </c>
      <c r="N14">
        <v>4.9075879322842457</v>
      </c>
      <c r="O14">
        <v>1.1914476226097879</v>
      </c>
      <c r="P14">
        <v>82.380254728017292</v>
      </c>
      <c r="Q14" t="str">
        <f t="shared" si="1"/>
        <v>***</v>
      </c>
      <c r="R14">
        <v>25.671695592456679</v>
      </c>
      <c r="S14">
        <v>11.327759822071732</v>
      </c>
      <c r="T14">
        <v>45.32528230769212</v>
      </c>
      <c r="U14" t="str">
        <f t="shared" si="2"/>
        <v>***</v>
      </c>
    </row>
    <row r="15" spans="1:21" x14ac:dyDescent="0.25">
      <c r="C15" t="s">
        <v>66</v>
      </c>
      <c r="F15">
        <v>-8.194776868369356</v>
      </c>
      <c r="G15">
        <v>2.1913925102074061</v>
      </c>
      <c r="H15">
        <v>-74.79058936451105</v>
      </c>
      <c r="I15" t="str">
        <f t="shared" si="0"/>
        <v>***</v>
      </c>
      <c r="N15">
        <v>6.6143679041409262</v>
      </c>
      <c r="O15">
        <v>1.2550799088213294</v>
      </c>
      <c r="P15">
        <v>105.40154228669965</v>
      </c>
      <c r="Q15" t="str">
        <f t="shared" si="1"/>
        <v>***</v>
      </c>
      <c r="R15">
        <v>-27.62187793340296</v>
      </c>
      <c r="S15">
        <v>12.42298110840342</v>
      </c>
      <c r="T15">
        <v>-44.469000946509318</v>
      </c>
      <c r="U15" t="str">
        <f t="shared" si="2"/>
        <v>***</v>
      </c>
    </row>
    <row r="16" spans="1:21" x14ac:dyDescent="0.25">
      <c r="B16" t="s">
        <v>25</v>
      </c>
      <c r="C16" t="s">
        <v>67</v>
      </c>
      <c r="F16">
        <v>7.9752667152866277</v>
      </c>
      <c r="G16">
        <v>2.2987438797845421</v>
      </c>
      <c r="H16">
        <v>69.388040881127978</v>
      </c>
      <c r="I16" t="str">
        <f t="shared" si="0"/>
        <v>***</v>
      </c>
      <c r="N16">
        <v>3.8961971672681579</v>
      </c>
      <c r="O16">
        <v>0.96305761416600499</v>
      </c>
      <c r="P16">
        <v>80.913065012049415</v>
      </c>
      <c r="Q16" t="str">
        <f t="shared" si="1"/>
        <v>***</v>
      </c>
      <c r="R16">
        <v>14.133068494328199</v>
      </c>
      <c r="S16">
        <v>6.4018217594621589</v>
      </c>
      <c r="T16">
        <v>44.153270819947281</v>
      </c>
      <c r="U16" t="str">
        <f t="shared" si="2"/>
        <v>***</v>
      </c>
    </row>
    <row r="17" spans="1:21" x14ac:dyDescent="0.25">
      <c r="C17" t="s">
        <v>68</v>
      </c>
      <c r="F17">
        <v>5.4352549089670443</v>
      </c>
      <c r="G17">
        <v>2.1931987175750018</v>
      </c>
      <c r="H17">
        <v>49.564636942490559</v>
      </c>
      <c r="I17" t="str">
        <f t="shared" si="0"/>
        <v>***</v>
      </c>
      <c r="N17">
        <v>1.6189271312628497</v>
      </c>
      <c r="O17">
        <v>1.2958295717279491</v>
      </c>
      <c r="P17">
        <v>24.986729220943161</v>
      </c>
      <c r="Q17" t="str">
        <f t="shared" si="1"/>
        <v>***</v>
      </c>
      <c r="R17">
        <v>-0.3518863897813968</v>
      </c>
      <c r="S17">
        <v>2.4132933337332498</v>
      </c>
      <c r="T17">
        <v>-2.9162338855595737</v>
      </c>
      <c r="U17" t="str">
        <f t="shared" si="2"/>
        <v>***</v>
      </c>
    </row>
    <row r="18" spans="1:21" x14ac:dyDescent="0.25">
      <c r="B18" t="s">
        <v>27</v>
      </c>
      <c r="C18" t="s">
        <v>69</v>
      </c>
      <c r="F18">
        <v>3.4473564052222061</v>
      </c>
      <c r="G18">
        <v>1.5437192665158472</v>
      </c>
      <c r="H18">
        <v>44.662996439797524</v>
      </c>
      <c r="I18" t="str">
        <f t="shared" si="0"/>
        <v>***</v>
      </c>
      <c r="N18">
        <v>1.8777424445442235</v>
      </c>
      <c r="O18">
        <v>0.70583729072128421</v>
      </c>
      <c r="P18">
        <v>53.206099174085502</v>
      </c>
      <c r="Q18" t="str">
        <f t="shared" si="1"/>
        <v>***</v>
      </c>
      <c r="R18">
        <v>12.937311055278242</v>
      </c>
      <c r="S18">
        <v>6.0669272608131575</v>
      </c>
      <c r="T18">
        <v>42.6486440305343</v>
      </c>
      <c r="U18" t="str">
        <f>IF(ABS(T18)&gt;2.576,"***",IF(ABS(T18)&gt;1.96,"**",IF(ABS(T18)&gt;1.645,"*","")))</f>
        <v>***</v>
      </c>
    </row>
    <row r="19" spans="1:21" x14ac:dyDescent="0.25">
      <c r="C19" t="s">
        <v>70</v>
      </c>
      <c r="F19">
        <v>-6.3227020714984192</v>
      </c>
      <c r="G19">
        <v>2.036971193723792</v>
      </c>
      <c r="H19">
        <v>-62.079445119102282</v>
      </c>
      <c r="I19" t="str">
        <f t="shared" si="0"/>
        <v>***</v>
      </c>
      <c r="N19">
        <v>-3.8287282951925921</v>
      </c>
      <c r="O19">
        <v>0.89040679381314158</v>
      </c>
      <c r="P19">
        <v>-85.999530142760335</v>
      </c>
      <c r="Q19" t="str">
        <f t="shared" si="1"/>
        <v>***</v>
      </c>
      <c r="R19">
        <v>-17.196310590601133</v>
      </c>
      <c r="S19">
        <v>7.7317601987136264</v>
      </c>
      <c r="T19">
        <v>-44.482265741925559</v>
      </c>
      <c r="U19" t="str">
        <f t="shared" si="2"/>
        <v>***</v>
      </c>
    </row>
    <row r="20" spans="1:21" x14ac:dyDescent="0.25">
      <c r="B20" t="s">
        <v>29</v>
      </c>
      <c r="C20" t="s">
        <v>71</v>
      </c>
      <c r="F20">
        <v>-0.4503118178342464</v>
      </c>
      <c r="G20">
        <v>1.1170317430483121</v>
      </c>
      <c r="H20">
        <v>-8.0626503344546467</v>
      </c>
      <c r="I20" t="str">
        <f t="shared" si="0"/>
        <v>***</v>
      </c>
      <c r="N20">
        <v>0.29243731806617401</v>
      </c>
      <c r="O20">
        <v>0.74347937407121256</v>
      </c>
      <c r="P20">
        <v>7.8667230931994485</v>
      </c>
      <c r="Q20" t="str">
        <f t="shared" si="1"/>
        <v>***</v>
      </c>
      <c r="R20">
        <v>4.4938356454003259</v>
      </c>
      <c r="S20">
        <v>2.4848394846195019</v>
      </c>
      <c r="T20">
        <v>36.170027667509117</v>
      </c>
      <c r="U20" t="str">
        <f t="shared" si="2"/>
        <v>***</v>
      </c>
    </row>
    <row r="21" spans="1:21" x14ac:dyDescent="0.25">
      <c r="C21" t="s">
        <v>72</v>
      </c>
      <c r="F21">
        <v>2.122995496484938</v>
      </c>
      <c r="G21">
        <v>1.6013919264027905</v>
      </c>
      <c r="H21">
        <v>26.514377417323761</v>
      </c>
      <c r="I21" t="str">
        <f t="shared" si="0"/>
        <v>***</v>
      </c>
      <c r="N21">
        <v>6.2378874752322879</v>
      </c>
      <c r="O21">
        <v>1.246512204643732</v>
      </c>
      <c r="P21">
        <v>100.08546169052795</v>
      </c>
      <c r="Q21" t="str">
        <f t="shared" si="1"/>
        <v>***</v>
      </c>
      <c r="R21">
        <v>13.733566894895661</v>
      </c>
      <c r="S21">
        <v>6.0222973205299857</v>
      </c>
      <c r="T21">
        <v>45.609063000187618</v>
      </c>
      <c r="U21" t="str">
        <f t="shared" si="2"/>
        <v>***</v>
      </c>
    </row>
    <row r="22" spans="1:21" x14ac:dyDescent="0.25">
      <c r="B22" t="s">
        <v>31</v>
      </c>
      <c r="C22" t="s">
        <v>73</v>
      </c>
      <c r="F22">
        <v>-1.370900683272527</v>
      </c>
      <c r="G22">
        <v>1.4069020662424361</v>
      </c>
      <c r="H22">
        <v>-19.488217640250372</v>
      </c>
      <c r="I22" t="str">
        <f t="shared" si="0"/>
        <v>***</v>
      </c>
      <c r="N22">
        <v>-2.531050512181606</v>
      </c>
      <c r="O22">
        <v>0.73611550916668655</v>
      </c>
      <c r="P22">
        <v>-68.767753991404419</v>
      </c>
      <c r="Q22" t="str">
        <f t="shared" si="1"/>
        <v>***</v>
      </c>
      <c r="R22">
        <v>-3.5628569781581581</v>
      </c>
      <c r="S22">
        <v>2.1043909626633219</v>
      </c>
      <c r="T22">
        <v>-33.861169729117236</v>
      </c>
      <c r="U22" t="str">
        <f t="shared" si="2"/>
        <v>***</v>
      </c>
    </row>
    <row r="23" spans="1:21" x14ac:dyDescent="0.25">
      <c r="C23" t="s">
        <v>74</v>
      </c>
      <c r="F23">
        <v>14.461044860260051</v>
      </c>
      <c r="G23">
        <v>3.8407212429867239</v>
      </c>
      <c r="H23">
        <v>75.303798142947059</v>
      </c>
      <c r="I23" t="str">
        <f t="shared" si="0"/>
        <v>***</v>
      </c>
      <c r="N23">
        <v>-7.1271612267932642</v>
      </c>
      <c r="O23">
        <v>1.331626041815166</v>
      </c>
      <c r="P23">
        <v>-107.04448550853044</v>
      </c>
      <c r="Q23" t="str">
        <f t="shared" si="1"/>
        <v>***</v>
      </c>
      <c r="R23">
        <v>5.1631498858362779</v>
      </c>
      <c r="S23">
        <v>3.0258419873559124</v>
      </c>
      <c r="T23">
        <v>34.127029153614345</v>
      </c>
      <c r="U23" t="str">
        <f t="shared" si="2"/>
        <v>***</v>
      </c>
    </row>
    <row r="24" spans="1:21" x14ac:dyDescent="0.25">
      <c r="B24" t="s">
        <v>33</v>
      </c>
      <c r="C24" t="s">
        <v>75</v>
      </c>
      <c r="F24">
        <v>-0.55933321367031941</v>
      </c>
      <c r="G24">
        <v>1.1573805692072598</v>
      </c>
      <c r="H24">
        <v>-9.665502057865563</v>
      </c>
      <c r="I24" t="str">
        <f t="shared" si="0"/>
        <v>***</v>
      </c>
      <c r="N24">
        <v>-1.1283766080603865</v>
      </c>
      <c r="O24">
        <v>0.7389756575343267</v>
      </c>
      <c r="P24">
        <v>-30.538938503748238</v>
      </c>
      <c r="Q24" t="str">
        <f t="shared" si="1"/>
        <v>***</v>
      </c>
      <c r="R24">
        <v>-6.2194256981894656</v>
      </c>
      <c r="S24">
        <v>3.0881243927451179</v>
      </c>
      <c r="T24">
        <v>-40.279631952654924</v>
      </c>
      <c r="U24" t="str">
        <f t="shared" si="2"/>
        <v>***</v>
      </c>
    </row>
    <row r="25" spans="1:21" x14ac:dyDescent="0.25">
      <c r="C25" t="s">
        <v>76</v>
      </c>
      <c r="F25">
        <v>18.281497984691999</v>
      </c>
      <c r="G25">
        <v>4.3285555703724201</v>
      </c>
      <c r="H25">
        <v>84.469277048551788</v>
      </c>
      <c r="I25" t="str">
        <f t="shared" si="0"/>
        <v>***</v>
      </c>
      <c r="N25">
        <v>-8.1485156298539625</v>
      </c>
      <c r="O25">
        <v>1.4160782366639189</v>
      </c>
      <c r="P25">
        <v>-115.08566997047731</v>
      </c>
      <c r="Q25" t="str">
        <f t="shared" si="1"/>
        <v>***</v>
      </c>
      <c r="R25">
        <v>-11.817373284450072</v>
      </c>
      <c r="S25">
        <v>5.4731413213649862</v>
      </c>
      <c r="T25">
        <v>-43.183146900737619</v>
      </c>
      <c r="U25" t="str">
        <f t="shared" si="2"/>
        <v>***</v>
      </c>
    </row>
    <row r="26" spans="1:21" x14ac:dyDescent="0.25">
      <c r="C26" t="s">
        <v>77</v>
      </c>
      <c r="F26">
        <v>-63.130503837016704</v>
      </c>
      <c r="G26">
        <v>17.294417712465851</v>
      </c>
      <c r="H26">
        <v>-73.006798941270063</v>
      </c>
      <c r="I26" t="str">
        <f t="shared" si="0"/>
        <v>***</v>
      </c>
      <c r="N26">
        <v>-17.135941843264678</v>
      </c>
      <c r="O26">
        <v>4.252204769370544</v>
      </c>
      <c r="P26">
        <v>-80.597914600435999</v>
      </c>
      <c r="Q26" t="str">
        <f>IF(ABS(P26)&gt;2.576,"***",IF(ABS(P26)&gt;1.96,"**",IF(ABS(P26)&gt;1.645,"*","")))</f>
        <v>***</v>
      </c>
      <c r="R26">
        <v>-18.015811856533823</v>
      </c>
      <c r="S26">
        <v>10.957088092042399</v>
      </c>
      <c r="T26">
        <v>-32.884305949165139</v>
      </c>
      <c r="U26" t="str">
        <f t="shared" si="2"/>
        <v>***</v>
      </c>
    </row>
    <row r="27" spans="1:21" x14ac:dyDescent="0.25">
      <c r="B27" t="s">
        <v>52</v>
      </c>
      <c r="C27" t="s">
        <v>78</v>
      </c>
      <c r="F27">
        <v>-59.268807315550454</v>
      </c>
      <c r="G27">
        <v>16.460996671859345</v>
      </c>
      <c r="H27">
        <v>-72.011201383537824</v>
      </c>
      <c r="I27" t="str">
        <f>IF(ABS(H27)&gt;2.576,"***",IF(ABS(H27)&gt;1.96,"**",IF(ABS(H27)&gt;1.645,"*","")))</f>
        <v>***</v>
      </c>
      <c r="N27">
        <v>-12.638616188001212</v>
      </c>
      <c r="O27">
        <v>3.1084980440055983</v>
      </c>
      <c r="P27">
        <v>-81.316545862870441</v>
      </c>
      <c r="Q27" t="str">
        <f t="shared" si="1"/>
        <v>***</v>
      </c>
      <c r="R27">
        <v>-23.532507043150201</v>
      </c>
      <c r="S27">
        <v>11.275588144007632</v>
      </c>
      <c r="T27">
        <v>-41.740628945650975</v>
      </c>
      <c r="U27" t="str">
        <f t="shared" si="2"/>
        <v>***</v>
      </c>
    </row>
    <row r="28" spans="1:21" x14ac:dyDescent="0.25">
      <c r="B28" t="s">
        <v>53</v>
      </c>
      <c r="C28" t="s">
        <v>79</v>
      </c>
      <c r="F28">
        <v>3.861696521466258</v>
      </c>
      <c r="G28">
        <v>4.6061734311666456</v>
      </c>
      <c r="H28">
        <v>16.767482072372477</v>
      </c>
      <c r="I28" t="str">
        <f t="shared" si="0"/>
        <v>***</v>
      </c>
      <c r="N28">
        <v>4.4973256552634657</v>
      </c>
      <c r="O28">
        <v>1.7827189895495259</v>
      </c>
      <c r="P28">
        <v>50.45467829340722</v>
      </c>
      <c r="Q28" t="str">
        <f t="shared" si="1"/>
        <v>***</v>
      </c>
      <c r="R28">
        <v>-5.5166951866163805</v>
      </c>
      <c r="S28">
        <v>3.0787626236270285</v>
      </c>
      <c r="T28">
        <v>-35.837093410711041</v>
      </c>
      <c r="U28" t="str">
        <f t="shared" si="2"/>
        <v>***</v>
      </c>
    </row>
    <row r="29" spans="1:21" x14ac:dyDescent="0.25">
      <c r="B29" t="s">
        <v>54</v>
      </c>
    </row>
    <row r="31" spans="1:21" x14ac:dyDescent="0.25">
      <c r="A31" s="2" t="s">
        <v>55</v>
      </c>
    </row>
    <row r="32" spans="1:21" x14ac:dyDescent="0.25">
      <c r="A32" s="2"/>
      <c r="B32" s="4" t="s">
        <v>13</v>
      </c>
      <c r="C32" t="s">
        <v>57</v>
      </c>
      <c r="F32">
        <v>-7.387816596371918</v>
      </c>
      <c r="G32">
        <v>3.1907886477712939</v>
      </c>
      <c r="H32">
        <v>-46.307151064563101</v>
      </c>
      <c r="I32" t="str">
        <f>IF(ABS(H32)&gt;2.576,"***",IF(ABS(H32)&gt;1.96,"**",IF(ABS(H32)&gt;1.645,"*","")))</f>
        <v>***</v>
      </c>
      <c r="J32">
        <v>2.7515197086020682</v>
      </c>
      <c r="K32">
        <v>91.683987410948177</v>
      </c>
      <c r="L32">
        <v>0.60021815941951573</v>
      </c>
      <c r="M32" t="str">
        <f>IF(ABS(L32)&gt;2.576,"***",IF(ABS(L32)&gt;1.96,"**",IF(ABS(L32)&gt;1.645,"*","")))</f>
        <v/>
      </c>
      <c r="N32">
        <v>-16.650964768917472</v>
      </c>
      <c r="O32">
        <v>4.1368890100548761</v>
      </c>
      <c r="P32">
        <v>-80.499934750227183</v>
      </c>
      <c r="Q32" t="str">
        <f>IF(ABS(P32)&gt;2.576,"***",IF(ABS(P32)&gt;1.96,"**",IF(ABS(P32)&gt;1.645,"*","")))</f>
        <v>***</v>
      </c>
      <c r="R32">
        <v>-13.921038252564609</v>
      </c>
      <c r="S32">
        <v>4.5333090960866205</v>
      </c>
      <c r="T32">
        <v>-61.416673593168184</v>
      </c>
      <c r="U32" t="str">
        <f>IF(ABS(T32)&gt;2.576,"***",IF(ABS(T32)&gt;1.96,"**",IF(ABS(T32)&gt;1.645,"*","")))</f>
        <v>***</v>
      </c>
    </row>
    <row r="33" spans="1:21" x14ac:dyDescent="0.25">
      <c r="A33" s="2"/>
      <c r="C33" t="s">
        <v>58</v>
      </c>
      <c r="F33">
        <v>40.92393946289554</v>
      </c>
      <c r="G33">
        <v>13.124251965462957</v>
      </c>
      <c r="H33">
        <v>62.363843014578919</v>
      </c>
      <c r="I33" t="str">
        <f t="shared" ref="I33:I56" si="3">IF(ABS(H33)&gt;2.576,"***",IF(ABS(H33)&gt;1.96,"**",IF(ABS(H33)&gt;1.645,"*","")))</f>
        <v>***</v>
      </c>
      <c r="J33">
        <v>-198.18898937373336</v>
      </c>
      <c r="K33">
        <v>4418.0999296868504</v>
      </c>
      <c r="L33">
        <v>-0.89716843225762322</v>
      </c>
      <c r="M33" t="str">
        <f t="shared" ref="M33:M56" si="4">IF(ABS(L33)&gt;2.576,"***",IF(ABS(L33)&gt;1.96,"**",IF(ABS(L33)&gt;1.645,"*","")))</f>
        <v/>
      </c>
      <c r="N33">
        <v>-15.949734427127956</v>
      </c>
      <c r="O33">
        <v>4.3544352671996842</v>
      </c>
      <c r="P33">
        <v>-73.257418923052001</v>
      </c>
      <c r="Q33" t="str">
        <f t="shared" ref="Q33:Q56" si="5">IF(ABS(P33)&gt;2.576,"***",IF(ABS(P33)&gt;1.96,"**",IF(ABS(P33)&gt;1.645,"*","")))</f>
        <v>***</v>
      </c>
      <c r="R33">
        <v>50.428444665620503</v>
      </c>
      <c r="S33">
        <v>18.691852166269353</v>
      </c>
      <c r="T33">
        <v>53.957675480252156</v>
      </c>
      <c r="U33" t="str">
        <f t="shared" ref="U33:U56" si="6">IF(ABS(T33)&gt;2.576,"***",IF(ABS(T33)&gt;1.96,"**",IF(ABS(T33)&gt;1.645,"*","")))</f>
        <v>***</v>
      </c>
    </row>
    <row r="34" spans="1:21" x14ac:dyDescent="0.25">
      <c r="A34" s="2"/>
      <c r="B34" s="4" t="s">
        <v>15</v>
      </c>
      <c r="C34" t="s">
        <v>59</v>
      </c>
      <c r="F34">
        <v>1.1873046237229166</v>
      </c>
      <c r="G34">
        <v>3.2452009394077881</v>
      </c>
      <c r="H34">
        <v>7.3172949588729397</v>
      </c>
      <c r="I34" t="str">
        <f t="shared" si="3"/>
        <v>***</v>
      </c>
      <c r="J34">
        <v>-166.85786246309161</v>
      </c>
      <c r="K34">
        <v>3689.9707443987422</v>
      </c>
      <c r="L34">
        <v>-0.90438582862141403</v>
      </c>
      <c r="M34" t="str">
        <f t="shared" si="4"/>
        <v/>
      </c>
      <c r="N34">
        <v>-23.609409454893104</v>
      </c>
      <c r="O34">
        <v>6.2047406081420844</v>
      </c>
      <c r="P34">
        <v>-76.101197281033762</v>
      </c>
      <c r="Q34" t="str">
        <f t="shared" si="5"/>
        <v>***</v>
      </c>
      <c r="R34">
        <v>-19.647574941821176</v>
      </c>
      <c r="S34">
        <v>7.08905599306987</v>
      </c>
      <c r="T34">
        <v>-55.430722965168528</v>
      </c>
      <c r="U34" t="str">
        <f t="shared" si="6"/>
        <v>***</v>
      </c>
    </row>
    <row r="35" spans="1:21" x14ac:dyDescent="0.25">
      <c r="A35" s="2"/>
      <c r="C35" t="s">
        <v>60</v>
      </c>
      <c r="F35">
        <v>-59.126497707187802</v>
      </c>
      <c r="G35">
        <v>19.341221218008627</v>
      </c>
      <c r="H35">
        <v>-61.140397538222743</v>
      </c>
      <c r="I35" t="str">
        <f t="shared" si="3"/>
        <v>***</v>
      </c>
      <c r="J35">
        <v>272.75341590994623</v>
      </c>
      <c r="K35">
        <v>6136.071625821528</v>
      </c>
      <c r="L35">
        <v>0.88901640183650454</v>
      </c>
      <c r="M35" t="str">
        <f t="shared" si="4"/>
        <v/>
      </c>
      <c r="N35">
        <v>-25.613846383392019</v>
      </c>
      <c r="O35">
        <v>7.0641521715925517</v>
      </c>
      <c r="P35">
        <v>-72.51782170376886</v>
      </c>
      <c r="Q35" t="str">
        <f t="shared" si="5"/>
        <v>***</v>
      </c>
      <c r="R35">
        <v>47.734497582278237</v>
      </c>
      <c r="S35">
        <v>17.470280336086692</v>
      </c>
      <c r="T35">
        <v>54.646515870358002</v>
      </c>
      <c r="U35" t="str">
        <f t="shared" si="6"/>
        <v>***</v>
      </c>
    </row>
    <row r="36" spans="1:21" x14ac:dyDescent="0.25">
      <c r="A36" s="2"/>
      <c r="B36" s="4" t="s">
        <v>17</v>
      </c>
      <c r="C36" t="s">
        <v>61</v>
      </c>
      <c r="F36">
        <v>-91.13619763237638</v>
      </c>
      <c r="G36">
        <v>28.900978095735979</v>
      </c>
      <c r="H36">
        <v>-63.067898484600079</v>
      </c>
      <c r="I36" t="str">
        <f t="shared" si="3"/>
        <v>***</v>
      </c>
      <c r="J36">
        <v>10.774355460310074</v>
      </c>
      <c r="K36">
        <v>360.69113638621184</v>
      </c>
      <c r="L36">
        <v>0.59742834649384779</v>
      </c>
      <c r="M36" t="str">
        <f t="shared" si="4"/>
        <v/>
      </c>
      <c r="N36">
        <v>-43.138938843329022</v>
      </c>
      <c r="O36">
        <v>11.053756792650267</v>
      </c>
      <c r="P36">
        <v>-78.052990766021651</v>
      </c>
      <c r="Q36" t="str">
        <f t="shared" si="5"/>
        <v>***</v>
      </c>
      <c r="R36">
        <v>-22.636313546669879</v>
      </c>
      <c r="S36">
        <v>9.3521251626051765</v>
      </c>
      <c r="T36">
        <v>-48.408919156005375</v>
      </c>
      <c r="U36" t="str">
        <f t="shared" si="6"/>
        <v>***</v>
      </c>
    </row>
    <row r="37" spans="1:21" x14ac:dyDescent="0.25">
      <c r="A37" s="2"/>
      <c r="C37" t="s">
        <v>62</v>
      </c>
      <c r="F37">
        <v>-69.137167313298022</v>
      </c>
      <c r="G37">
        <v>22.6302843304587</v>
      </c>
      <c r="H37">
        <v>-61.101457059683895</v>
      </c>
      <c r="I37" t="str">
        <f t="shared" si="3"/>
        <v>***</v>
      </c>
      <c r="J37">
        <v>232.73986495146102</v>
      </c>
      <c r="K37">
        <v>5058.3589775404143</v>
      </c>
      <c r="L37">
        <v>0.92021885352481947</v>
      </c>
      <c r="M37" t="str">
        <f t="shared" si="4"/>
        <v/>
      </c>
      <c r="N37">
        <v>24.034728030718078</v>
      </c>
      <c r="O37">
        <v>6.6561633447979389</v>
      </c>
      <c r="P37">
        <v>72.217963369249944</v>
      </c>
      <c r="Q37" t="str">
        <f t="shared" si="5"/>
        <v>***</v>
      </c>
      <c r="R37">
        <v>-51.190845571047994</v>
      </c>
      <c r="S37">
        <v>17.65882228619645</v>
      </c>
      <c r="T37">
        <v>-57.9776439690011</v>
      </c>
      <c r="U37" t="str">
        <f t="shared" si="6"/>
        <v>***</v>
      </c>
    </row>
    <row r="38" spans="1:21" x14ac:dyDescent="0.25">
      <c r="A38" s="2"/>
      <c r="C38" t="s">
        <v>48</v>
      </c>
      <c r="F38">
        <v>13.342192305146243</v>
      </c>
      <c r="G38">
        <v>6.6021586742825775</v>
      </c>
      <c r="H38">
        <v>40.417666291839218</v>
      </c>
      <c r="I38" t="str">
        <f t="shared" si="3"/>
        <v>***</v>
      </c>
      <c r="J38">
        <v>19.959056598166597</v>
      </c>
      <c r="K38">
        <v>463.1923750485368</v>
      </c>
      <c r="L38">
        <v>0.86180419511763939</v>
      </c>
      <c r="M38" t="str">
        <f t="shared" si="4"/>
        <v/>
      </c>
      <c r="N38">
        <v>18.601674932178138</v>
      </c>
      <c r="O38">
        <v>5.4674104769347265</v>
      </c>
      <c r="P38">
        <v>68.045649803147995</v>
      </c>
      <c r="Q38" t="str">
        <f t="shared" si="5"/>
        <v>***</v>
      </c>
      <c r="R38">
        <v>15.173571597096181</v>
      </c>
      <c r="S38">
        <v>7.3965547321371243</v>
      </c>
      <c r="T38">
        <v>41.028754999050754</v>
      </c>
      <c r="U38" t="str">
        <f t="shared" si="6"/>
        <v>***</v>
      </c>
    </row>
    <row r="39" spans="1:21" x14ac:dyDescent="0.25">
      <c r="A39" s="2"/>
      <c r="C39" t="s">
        <v>49</v>
      </c>
      <c r="F39">
        <v>20.413174120221939</v>
      </c>
      <c r="G39">
        <v>2.076195387940424</v>
      </c>
      <c r="H39">
        <v>196.64020292879769</v>
      </c>
      <c r="I39" t="str">
        <f t="shared" si="3"/>
        <v>***</v>
      </c>
      <c r="J39">
        <v>76.011722190307594</v>
      </c>
      <c r="K39">
        <v>60.546900438197397</v>
      </c>
      <c r="L39">
        <v>25.10837768413786</v>
      </c>
      <c r="M39" t="str">
        <f t="shared" si="4"/>
        <v>***</v>
      </c>
      <c r="N39">
        <v>13.831812235647815</v>
      </c>
      <c r="O39">
        <v>2.6163468215246621</v>
      </c>
      <c r="P39">
        <v>105.73378209535238</v>
      </c>
      <c r="Q39" t="str">
        <f t="shared" si="5"/>
        <v>***</v>
      </c>
      <c r="R39">
        <v>27.222930071866518</v>
      </c>
      <c r="S39">
        <v>2.6307251875123541</v>
      </c>
      <c r="T39">
        <v>206.9614127776598</v>
      </c>
      <c r="U39" t="str">
        <f t="shared" si="6"/>
        <v>***</v>
      </c>
    </row>
    <row r="40" spans="1:21" x14ac:dyDescent="0.25">
      <c r="B40" t="s">
        <v>21</v>
      </c>
      <c r="C40" t="s">
        <v>63</v>
      </c>
      <c r="F40">
        <v>12.283774899089918</v>
      </c>
      <c r="G40">
        <v>4.5530165252016062</v>
      </c>
      <c r="H40">
        <v>53.958841708996417</v>
      </c>
      <c r="I40" t="str">
        <f t="shared" si="3"/>
        <v>***</v>
      </c>
      <c r="J40">
        <v>-1.2285122786282876</v>
      </c>
      <c r="K40">
        <v>96.446518541933784</v>
      </c>
      <c r="L40">
        <v>-0.25475513210860901</v>
      </c>
      <c r="M40" t="str">
        <f t="shared" si="4"/>
        <v/>
      </c>
      <c r="N40">
        <v>2.6110655645015504</v>
      </c>
      <c r="O40">
        <v>1.4008644028997754</v>
      </c>
      <c r="P40">
        <v>37.27792010556724</v>
      </c>
      <c r="Q40" t="str">
        <f t="shared" si="5"/>
        <v>***</v>
      </c>
      <c r="R40">
        <v>12.175709169301761</v>
      </c>
      <c r="S40">
        <v>4.7371940554227994</v>
      </c>
      <c r="T40">
        <v>51.404730424179618</v>
      </c>
      <c r="U40" t="str">
        <f t="shared" si="6"/>
        <v>***</v>
      </c>
    </row>
    <row r="41" spans="1:21" x14ac:dyDescent="0.25">
      <c r="C41" t="s">
        <v>64</v>
      </c>
      <c r="F41">
        <v>-0.10266893607244997</v>
      </c>
      <c r="G41">
        <v>2.0032740961473761</v>
      </c>
      <c r="H41">
        <v>-1.0250113678392698</v>
      </c>
      <c r="I41" t="str">
        <f t="shared" si="3"/>
        <v/>
      </c>
      <c r="J41">
        <v>15.880853491636939</v>
      </c>
      <c r="K41">
        <v>294.83665309753042</v>
      </c>
      <c r="L41">
        <v>1.0772645344324698</v>
      </c>
      <c r="M41" t="str">
        <f t="shared" si="4"/>
        <v/>
      </c>
      <c r="N41">
        <v>1.9751560222693008</v>
      </c>
      <c r="O41">
        <v>2.170610073485566</v>
      </c>
      <c r="P41">
        <v>18.199086481687569</v>
      </c>
      <c r="Q41" t="str">
        <f t="shared" si="5"/>
        <v>***</v>
      </c>
      <c r="R41">
        <v>-3.1071862303962621</v>
      </c>
      <c r="S41">
        <v>1.8999182164349515</v>
      </c>
      <c r="T41">
        <v>-32.708631387583139</v>
      </c>
      <c r="U41" t="str">
        <f t="shared" si="6"/>
        <v>***</v>
      </c>
    </row>
    <row r="42" spans="1:21" x14ac:dyDescent="0.25">
      <c r="B42" t="s">
        <v>23</v>
      </c>
      <c r="C42" t="s">
        <v>65</v>
      </c>
      <c r="F42">
        <v>16.01218505923913</v>
      </c>
      <c r="G42">
        <v>5.6482438897423801</v>
      </c>
      <c r="H42">
        <v>56.697923715080442</v>
      </c>
      <c r="I42" t="str">
        <f t="shared" si="3"/>
        <v>***</v>
      </c>
      <c r="J42">
        <v>91.776427457376698</v>
      </c>
      <c r="K42">
        <v>2065.0850085932238</v>
      </c>
      <c r="L42">
        <v>0.888839220424118</v>
      </c>
      <c r="M42" t="str">
        <f t="shared" si="4"/>
        <v/>
      </c>
      <c r="N42">
        <v>10.275437813846175</v>
      </c>
      <c r="O42">
        <v>2.9165918575547263</v>
      </c>
      <c r="P42">
        <v>70.461952276456799</v>
      </c>
      <c r="Q42" t="str">
        <f t="shared" si="5"/>
        <v>***</v>
      </c>
      <c r="R42">
        <v>22.179733382481142</v>
      </c>
      <c r="S42">
        <v>8.0157326975285752</v>
      </c>
      <c r="T42">
        <v>55.340501534737143</v>
      </c>
      <c r="U42" t="str">
        <f t="shared" si="6"/>
        <v>***</v>
      </c>
    </row>
    <row r="43" spans="1:21" x14ac:dyDescent="0.25">
      <c r="C43" t="s">
        <v>66</v>
      </c>
      <c r="F43">
        <v>-15.140629118441105</v>
      </c>
      <c r="G43">
        <v>4.8824674852158259</v>
      </c>
      <c r="H43">
        <v>-62.02039917024382</v>
      </c>
      <c r="I43" t="str">
        <f t="shared" si="3"/>
        <v>***</v>
      </c>
      <c r="J43">
        <v>-9.020086698349246</v>
      </c>
      <c r="K43">
        <v>242.59816868918901</v>
      </c>
      <c r="L43">
        <v>-0.74362364292251237</v>
      </c>
      <c r="M43" t="str">
        <f t="shared" si="4"/>
        <v/>
      </c>
      <c r="N43">
        <v>-5.6635090724599335</v>
      </c>
      <c r="O43">
        <v>1.7411490451233169</v>
      </c>
      <c r="P43">
        <v>-65.054845113030694</v>
      </c>
      <c r="Q43" t="str">
        <f t="shared" si="5"/>
        <v>***</v>
      </c>
      <c r="R43">
        <v>-17.447893263022287</v>
      </c>
      <c r="S43">
        <v>6.318782427565238</v>
      </c>
      <c r="T43">
        <v>-55.225491502625879</v>
      </c>
      <c r="U43" t="str">
        <f t="shared" si="6"/>
        <v>***</v>
      </c>
    </row>
    <row r="44" spans="1:21" x14ac:dyDescent="0.25">
      <c r="B44" t="s">
        <v>25</v>
      </c>
      <c r="C44" t="s">
        <v>67</v>
      </c>
      <c r="F44">
        <v>15.195086918727739</v>
      </c>
      <c r="G44">
        <v>5.4155200727880199</v>
      </c>
      <c r="H44">
        <v>56.116815059296776</v>
      </c>
      <c r="I44" t="str">
        <f t="shared" si="3"/>
        <v>***</v>
      </c>
      <c r="J44">
        <v>77.960464201398338</v>
      </c>
      <c r="K44">
        <v>1757.2667128905616</v>
      </c>
      <c r="L44">
        <v>0.88729233450464295</v>
      </c>
      <c r="M44" t="str">
        <f t="shared" si="4"/>
        <v/>
      </c>
      <c r="N44">
        <v>4.5130905120873503</v>
      </c>
      <c r="O44">
        <v>1.8685929821616347</v>
      </c>
      <c r="P44">
        <v>48.304692944597221</v>
      </c>
      <c r="Q44" t="str">
        <f t="shared" si="5"/>
        <v>***</v>
      </c>
      <c r="R44">
        <v>14.435520495076972</v>
      </c>
      <c r="S44">
        <v>5.3173448968944541</v>
      </c>
      <c r="T44">
        <v>54.295972049914994</v>
      </c>
      <c r="U44" t="str">
        <f t="shared" si="6"/>
        <v>***</v>
      </c>
    </row>
    <row r="45" spans="1:21" x14ac:dyDescent="0.25">
      <c r="C45" t="s">
        <v>68</v>
      </c>
      <c r="F45">
        <v>8.8807193159225726</v>
      </c>
      <c r="G45">
        <v>3.4339144103225561</v>
      </c>
      <c r="H45">
        <v>51.72359153289662</v>
      </c>
      <c r="I45" t="str">
        <f t="shared" si="3"/>
        <v>***</v>
      </c>
      <c r="J45">
        <v>-75.435261252003045</v>
      </c>
      <c r="K45">
        <v>1636.4253310268891</v>
      </c>
      <c r="L45">
        <v>-0.92195176671661427</v>
      </c>
      <c r="M45" t="str">
        <f t="shared" si="4"/>
        <v/>
      </c>
      <c r="N45">
        <v>-7.9528147958652458</v>
      </c>
      <c r="O45">
        <v>2.7040214624798242</v>
      </c>
      <c r="P45">
        <v>-58.822127754650438</v>
      </c>
      <c r="Q45" t="str">
        <f t="shared" si="5"/>
        <v>***</v>
      </c>
      <c r="R45">
        <v>-5.3414923198539777</v>
      </c>
      <c r="S45">
        <v>2.3392511564699139</v>
      </c>
      <c r="T45">
        <v>-45.668395247602604</v>
      </c>
      <c r="U45" t="str">
        <f t="shared" si="6"/>
        <v>***</v>
      </c>
    </row>
    <row r="46" spans="1:21" x14ac:dyDescent="0.25">
      <c r="B46" t="s">
        <v>27</v>
      </c>
      <c r="C46" t="s">
        <v>69</v>
      </c>
      <c r="F46">
        <v>7.3789069135476479</v>
      </c>
      <c r="G46">
        <v>2.6565174338235242</v>
      </c>
      <c r="H46">
        <v>55.553235371974878</v>
      </c>
      <c r="I46" t="str">
        <f t="shared" si="3"/>
        <v>***</v>
      </c>
      <c r="J46">
        <v>83.576539969129144</v>
      </c>
      <c r="K46">
        <v>1895.5920417364041</v>
      </c>
      <c r="L46">
        <v>0.88179880616687112</v>
      </c>
      <c r="M46" t="str">
        <f t="shared" si="4"/>
        <v/>
      </c>
      <c r="N46">
        <v>3.0222113580732279</v>
      </c>
      <c r="O46">
        <v>1.2978091787441903</v>
      </c>
      <c r="P46">
        <v>46.574048135452919</v>
      </c>
      <c r="Q46" t="str">
        <f t="shared" si="5"/>
        <v>***</v>
      </c>
      <c r="R46">
        <v>10.699814796619362</v>
      </c>
      <c r="S46">
        <v>3.965944851801968</v>
      </c>
      <c r="T46">
        <v>53.958464862454115</v>
      </c>
      <c r="U46" t="str">
        <f t="shared" si="6"/>
        <v>***</v>
      </c>
    </row>
    <row r="47" spans="1:21" x14ac:dyDescent="0.25">
      <c r="C47" t="s">
        <v>70</v>
      </c>
      <c r="F47">
        <v>3.5035615692167621</v>
      </c>
      <c r="G47">
        <v>1.9049486806629423</v>
      </c>
      <c r="H47">
        <v>36.783789555921118</v>
      </c>
      <c r="I47" t="str">
        <f t="shared" si="3"/>
        <v>***</v>
      </c>
      <c r="J47">
        <v>-63.714926622281794</v>
      </c>
      <c r="K47">
        <v>1448.59737378762</v>
      </c>
      <c r="L47">
        <v>-0.87967751115946879</v>
      </c>
      <c r="M47" t="str">
        <f t="shared" si="4"/>
        <v/>
      </c>
      <c r="N47">
        <v>9.4373418825800197</v>
      </c>
      <c r="O47">
        <v>2.7643642788031482</v>
      </c>
      <c r="P47">
        <v>68.278569180947372</v>
      </c>
      <c r="Q47" t="str">
        <f t="shared" si="5"/>
        <v>***</v>
      </c>
      <c r="R47">
        <v>-13.065748396189601</v>
      </c>
      <c r="S47">
        <v>4.7516729793586618</v>
      </c>
      <c r="T47">
        <v>-54.994308122412477</v>
      </c>
      <c r="U47" t="str">
        <f t="shared" si="6"/>
        <v>***</v>
      </c>
    </row>
    <row r="48" spans="1:21" x14ac:dyDescent="0.25">
      <c r="B48" t="s">
        <v>29</v>
      </c>
      <c r="C48" t="s">
        <v>71</v>
      </c>
      <c r="F48">
        <v>6.2748662189411197</v>
      </c>
      <c r="G48">
        <v>2.5161108562035621</v>
      </c>
      <c r="H48">
        <v>49.877502046225118</v>
      </c>
      <c r="I48" t="str">
        <f t="shared" si="3"/>
        <v>***</v>
      </c>
      <c r="J48">
        <v>50.040031470773279</v>
      </c>
      <c r="K48">
        <v>1100.8239177388145</v>
      </c>
      <c r="L48">
        <v>0.90913779514456283</v>
      </c>
      <c r="M48" t="str">
        <f t="shared" si="4"/>
        <v/>
      </c>
      <c r="N48">
        <v>1.3284105329340512</v>
      </c>
      <c r="O48">
        <v>1.034631735954918</v>
      </c>
      <c r="P48">
        <v>25.678905580988939</v>
      </c>
      <c r="Q48" t="str">
        <f t="shared" si="5"/>
        <v>***</v>
      </c>
      <c r="R48">
        <v>0.4607452830341896</v>
      </c>
      <c r="S48">
        <v>0.86179382480013556</v>
      </c>
      <c r="T48">
        <v>10.692703284130499</v>
      </c>
      <c r="U48" t="str">
        <f t="shared" si="6"/>
        <v>***</v>
      </c>
    </row>
    <row r="49" spans="1:21" x14ac:dyDescent="0.25">
      <c r="C49" t="s">
        <v>72</v>
      </c>
      <c r="F49">
        <v>5.7758903224478972</v>
      </c>
      <c r="G49">
        <v>2.3134569018537561</v>
      </c>
      <c r="H49">
        <v>49.93298399308604</v>
      </c>
      <c r="I49" t="str">
        <f t="shared" si="3"/>
        <v>***</v>
      </c>
      <c r="J49">
        <v>77.338720672765533</v>
      </c>
      <c r="K49">
        <v>1702.3159842676428</v>
      </c>
      <c r="L49">
        <v>0.90862943645609484</v>
      </c>
      <c r="M49" t="str">
        <f t="shared" si="4"/>
        <v/>
      </c>
      <c r="N49">
        <v>-4.3284648349379165</v>
      </c>
      <c r="O49">
        <v>2.0380655036532298</v>
      </c>
      <c r="P49">
        <v>-42.476209201118884</v>
      </c>
      <c r="Q49" t="str">
        <f t="shared" si="5"/>
        <v>***</v>
      </c>
      <c r="R49">
        <v>-4.6084361023231679</v>
      </c>
      <c r="S49">
        <v>1.98689392692238</v>
      </c>
      <c r="T49">
        <v>-46.388345546573319</v>
      </c>
      <c r="U49" t="str">
        <f t="shared" si="6"/>
        <v>***</v>
      </c>
    </row>
    <row r="50" spans="1:21" x14ac:dyDescent="0.25">
      <c r="B50" t="s">
        <v>31</v>
      </c>
      <c r="C50" t="s">
        <v>73</v>
      </c>
      <c r="F50">
        <v>-6.3286109381340641</v>
      </c>
      <c r="G50">
        <v>2.4278851947329922</v>
      </c>
      <c r="H50">
        <v>-52.132703406761024</v>
      </c>
      <c r="I50" t="str">
        <f t="shared" si="3"/>
        <v>***</v>
      </c>
      <c r="J50">
        <v>-41.4910302686893</v>
      </c>
      <c r="K50">
        <v>901.9706530078746</v>
      </c>
      <c r="L50">
        <v>-0.92000843110196096</v>
      </c>
      <c r="M50" t="str">
        <f t="shared" si="4"/>
        <v/>
      </c>
      <c r="N50">
        <v>-3.0295698478169659</v>
      </c>
      <c r="O50">
        <v>1.2624392383017806</v>
      </c>
      <c r="P50">
        <v>-47.99549563893958</v>
      </c>
      <c r="Q50" t="str">
        <f t="shared" si="5"/>
        <v>***</v>
      </c>
      <c r="R50">
        <v>-2.1075147768757061</v>
      </c>
      <c r="S50">
        <v>1.4009764548792802</v>
      </c>
      <c r="T50">
        <v>-30.086369682170119</v>
      </c>
      <c r="U50" t="str">
        <f t="shared" si="6"/>
        <v>***</v>
      </c>
    </row>
    <row r="51" spans="1:21" x14ac:dyDescent="0.25">
      <c r="C51" t="s">
        <v>74</v>
      </c>
      <c r="F51">
        <v>-12.099188000384341</v>
      </c>
      <c r="G51">
        <v>4.4429855049438665</v>
      </c>
      <c r="H51">
        <v>-54.464224503641304</v>
      </c>
      <c r="I51" t="str">
        <f t="shared" si="3"/>
        <v>***</v>
      </c>
      <c r="J51">
        <v>48.570278032548721</v>
      </c>
      <c r="K51">
        <v>1060.0025421843616</v>
      </c>
      <c r="L51">
        <v>0.9164181424029284</v>
      </c>
      <c r="M51" t="str">
        <f t="shared" si="4"/>
        <v/>
      </c>
      <c r="N51">
        <v>-5.0219945857012416</v>
      </c>
      <c r="O51">
        <v>1.7679493226072789</v>
      </c>
      <c r="P51">
        <v>-56.811521930900923</v>
      </c>
      <c r="Q51" t="str">
        <f t="shared" si="5"/>
        <v>***</v>
      </c>
      <c r="R51">
        <v>2.7320461733491879</v>
      </c>
      <c r="S51">
        <v>1.5838906171911487</v>
      </c>
      <c r="T51">
        <v>34.497914738508442</v>
      </c>
      <c r="U51" t="str">
        <f t="shared" si="6"/>
        <v>***</v>
      </c>
    </row>
    <row r="52" spans="1:21" x14ac:dyDescent="0.25">
      <c r="B52" t="s">
        <v>33</v>
      </c>
      <c r="C52" t="s">
        <v>75</v>
      </c>
      <c r="F52">
        <v>-9.2656904594799681</v>
      </c>
      <c r="G52">
        <v>3.4229804877624441</v>
      </c>
      <c r="H52">
        <v>-54.138143600910922</v>
      </c>
      <c r="I52" t="str">
        <f t="shared" si="3"/>
        <v>***</v>
      </c>
      <c r="J52">
        <v>-34.054940829397083</v>
      </c>
      <c r="K52">
        <v>723.99227062759724</v>
      </c>
      <c r="L52">
        <v>-0.9407542652320402</v>
      </c>
      <c r="M52" t="str">
        <f t="shared" si="4"/>
        <v/>
      </c>
      <c r="N52">
        <v>-4.5846765256298996</v>
      </c>
      <c r="O52">
        <v>1.5399892087505833</v>
      </c>
      <c r="P52">
        <v>-59.541670806245683</v>
      </c>
      <c r="Q52" t="str">
        <f t="shared" si="5"/>
        <v>***</v>
      </c>
      <c r="R52">
        <v>-3.2505716092660357</v>
      </c>
      <c r="S52">
        <v>1.5990426607387249</v>
      </c>
      <c r="T52">
        <v>-40.656471388503647</v>
      </c>
      <c r="U52" t="str">
        <f t="shared" si="6"/>
        <v>***</v>
      </c>
    </row>
    <row r="53" spans="1:21" x14ac:dyDescent="0.25">
      <c r="C53" t="s">
        <v>76</v>
      </c>
      <c r="F53">
        <v>-18.589671456563192</v>
      </c>
      <c r="G53">
        <v>6.1376831352041066</v>
      </c>
      <c r="H53">
        <v>-60.575533298347757</v>
      </c>
      <c r="I53" t="str">
        <f t="shared" si="3"/>
        <v>***</v>
      </c>
      <c r="J53">
        <v>-80.367105089905309</v>
      </c>
      <c r="K53">
        <v>1805.9966019035865</v>
      </c>
      <c r="L53">
        <v>-0.89000283837960081</v>
      </c>
      <c r="M53" t="str">
        <f t="shared" si="4"/>
        <v/>
      </c>
      <c r="N53">
        <v>7.5822603334712726</v>
      </c>
      <c r="O53">
        <v>2.1173101322922863</v>
      </c>
      <c r="P53">
        <v>71.621631784876101</v>
      </c>
      <c r="Q53" t="str">
        <f t="shared" si="5"/>
        <v>***</v>
      </c>
      <c r="R53">
        <v>-9.0664279360666047</v>
      </c>
      <c r="S53">
        <v>3.242652451112856</v>
      </c>
      <c r="T53">
        <v>-55.91982534517426</v>
      </c>
      <c r="U53" t="str">
        <f t="shared" si="6"/>
        <v>***</v>
      </c>
    </row>
    <row r="54" spans="1:21" x14ac:dyDescent="0.25">
      <c r="C54" t="s">
        <v>77</v>
      </c>
      <c r="F54">
        <v>-83.74838103600446</v>
      </c>
      <c r="G54">
        <v>39.855056832509376</v>
      </c>
      <c r="H54">
        <v>-42.026476784592987</v>
      </c>
      <c r="I54" t="str">
        <f t="shared" si="3"/>
        <v>***</v>
      </c>
      <c r="J54">
        <v>8.0228357517080067</v>
      </c>
      <c r="K54">
        <v>7.7520110793591197</v>
      </c>
      <c r="L54">
        <v>20.698721066253359</v>
      </c>
      <c r="M54" t="str">
        <f t="shared" si="4"/>
        <v>***</v>
      </c>
      <c r="N54">
        <v>-26.487974074411543</v>
      </c>
      <c r="O54">
        <v>8.6603765118664118</v>
      </c>
      <c r="P54">
        <v>-61.170490770505943</v>
      </c>
      <c r="Q54" t="str">
        <f t="shared" si="5"/>
        <v>***</v>
      </c>
      <c r="R54">
        <v>-8.7152752941052718</v>
      </c>
      <c r="S54">
        <v>3.9804352897970641</v>
      </c>
      <c r="T54">
        <v>-43.790563893576618</v>
      </c>
      <c r="U54" t="str">
        <f t="shared" si="6"/>
        <v>***</v>
      </c>
    </row>
    <row r="55" spans="1:21" x14ac:dyDescent="0.25">
      <c r="B55" t="s">
        <v>52</v>
      </c>
      <c r="C55" t="s">
        <v>78</v>
      </c>
      <c r="F55">
        <v>-92.323502256099289</v>
      </c>
      <c r="G55">
        <v>42.222014894764463</v>
      </c>
      <c r="H55">
        <v>-43.732400022220361</v>
      </c>
      <c r="I55" t="str">
        <f t="shared" si="3"/>
        <v>***</v>
      </c>
      <c r="J55">
        <v>177.6322179234017</v>
      </c>
      <c r="K55">
        <v>119.70690573257187</v>
      </c>
      <c r="L55">
        <v>29.677856400404558</v>
      </c>
      <c r="M55" t="str">
        <f t="shared" si="4"/>
        <v>***</v>
      </c>
      <c r="N55">
        <v>-19.529529388435911</v>
      </c>
      <c r="O55">
        <v>6.3596484397449906</v>
      </c>
      <c r="P55">
        <v>-61.417009362923238</v>
      </c>
      <c r="Q55" t="str">
        <f t="shared" si="5"/>
        <v>***</v>
      </c>
      <c r="R55">
        <v>-2.9887386048487019</v>
      </c>
      <c r="S55">
        <v>2.708253712691552</v>
      </c>
      <c r="T55">
        <v>-22.071333943660658</v>
      </c>
      <c r="U55" t="str">
        <f t="shared" si="6"/>
        <v>***</v>
      </c>
    </row>
    <row r="56" spans="1:21" x14ac:dyDescent="0.25">
      <c r="B56" t="s">
        <v>53</v>
      </c>
      <c r="C56" t="s">
        <v>79</v>
      </c>
      <c r="F56">
        <v>-8.5751212200948359</v>
      </c>
      <c r="G56">
        <v>3.5273417979374759</v>
      </c>
      <c r="H56">
        <v>-48.620869262564341</v>
      </c>
      <c r="I56" t="str">
        <f t="shared" si="3"/>
        <v>***</v>
      </c>
      <c r="J56">
        <v>169.60938217169368</v>
      </c>
      <c r="K56">
        <v>127.11522614598846</v>
      </c>
      <c r="L56">
        <v>26.685926983586018</v>
      </c>
      <c r="M56" t="str">
        <f t="shared" si="4"/>
        <v>***</v>
      </c>
      <c r="N56">
        <v>6.9584446859756319</v>
      </c>
      <c r="O56">
        <v>2.8814987306645081</v>
      </c>
      <c r="P56">
        <v>48.297398932887461</v>
      </c>
      <c r="Q56" t="str">
        <f t="shared" si="5"/>
        <v>***</v>
      </c>
      <c r="R56">
        <v>5.7265366892565694</v>
      </c>
      <c r="S56">
        <v>2.5236643866661779</v>
      </c>
      <c r="T56">
        <v>45.382711897135124</v>
      </c>
      <c r="U56" t="str">
        <f t="shared" si="6"/>
        <v>***</v>
      </c>
    </row>
    <row r="57" spans="1:21" x14ac:dyDescent="0.25">
      <c r="B57" t="s">
        <v>54</v>
      </c>
    </row>
    <row r="58" spans="1:21" x14ac:dyDescent="0.25">
      <c r="A58" s="2" t="s">
        <v>56</v>
      </c>
    </row>
    <row r="59" spans="1:21" x14ac:dyDescent="0.25">
      <c r="A59" s="2"/>
      <c r="B59" s="4" t="s">
        <v>13</v>
      </c>
      <c r="C59" t="s">
        <v>57</v>
      </c>
      <c r="F59">
        <v>-0.70801486881425402</v>
      </c>
      <c r="G59">
        <v>1.7505077540935039</v>
      </c>
      <c r="H59">
        <v>-8.0892514432864999</v>
      </c>
      <c r="I59" t="str">
        <f>IF(ABS(H59)&gt;2.576,"***",IF(ABS(H59)&gt;1.96,"**",IF(ABS(H59)&gt;1.645,"*","")))</f>
        <v>***</v>
      </c>
      <c r="J59">
        <v>-61.455732717611362</v>
      </c>
      <c r="K59">
        <v>156.49770186765022</v>
      </c>
      <c r="L59">
        <v>-7.8538830901918741</v>
      </c>
      <c r="M59" t="str">
        <f>IF(ABS(L59)&gt;2.576,"***",IF(ABS(L59)&gt;1.96,"**",IF(ABS(L59)&gt;1.645,"*","")))</f>
        <v>***</v>
      </c>
      <c r="N59">
        <v>-38.687931703274117</v>
      </c>
      <c r="O59">
        <v>8.3769024859782633</v>
      </c>
      <c r="P59">
        <v>-92.36810806388678</v>
      </c>
      <c r="Q59" t="str">
        <f>IF(ABS(P59)&gt;2.576,"***",IF(ABS(P59)&gt;1.96,"**",IF(ABS(P59)&gt;1.645,"*","")))</f>
        <v>***</v>
      </c>
      <c r="R59">
        <v>-18.078690099770242</v>
      </c>
      <c r="S59">
        <v>4.7556123063544584</v>
      </c>
      <c r="T59">
        <v>-76.030966929804023</v>
      </c>
      <c r="U59" t="str">
        <f>IF(ABS(T59)&gt;2.576,"***",IF(ABS(T59)&gt;1.96,"**",IF(ABS(T59)&gt;1.645,"*","")))</f>
        <v>***</v>
      </c>
    </row>
    <row r="60" spans="1:21" x14ac:dyDescent="0.25">
      <c r="A60" s="2"/>
      <c r="C60" t="s">
        <v>58</v>
      </c>
      <c r="F60">
        <v>-26.481907405883042</v>
      </c>
      <c r="G60">
        <v>4.2929278827493373</v>
      </c>
      <c r="H60">
        <v>-123.37457385341918</v>
      </c>
      <c r="I60" t="str">
        <f t="shared" ref="I60:I83" si="7">IF(ABS(H60)&gt;2.576,"***",IF(ABS(H60)&gt;1.96,"**",IF(ABS(H60)&gt;1.645,"*","")))</f>
        <v>***</v>
      </c>
      <c r="J60">
        <v>-87.973142866233488</v>
      </c>
      <c r="K60">
        <v>230.43430814177299</v>
      </c>
      <c r="L60">
        <v>-7.6354205739284868</v>
      </c>
      <c r="M60" t="str">
        <f t="shared" ref="M60:M83" si="8">IF(ABS(L60)&gt;2.576,"***",IF(ABS(L60)&gt;1.96,"**",IF(ABS(L60)&gt;1.645,"*","")))</f>
        <v>***</v>
      </c>
      <c r="N60">
        <v>-13.38241465478059</v>
      </c>
      <c r="O60">
        <v>2.6891773216515817</v>
      </c>
      <c r="P60">
        <v>-99.527945197467744</v>
      </c>
      <c r="Q60" t="str">
        <f t="shared" ref="Q60:Q83" si="9">IF(ABS(P60)&gt;2.576,"***",IF(ABS(P60)&gt;1.96,"**",IF(ABS(P60)&gt;1.645,"*","")))</f>
        <v>***</v>
      </c>
      <c r="R60">
        <v>-40.060636447613234</v>
      </c>
      <c r="S60">
        <v>11.394299866552128</v>
      </c>
      <c r="T60">
        <v>-70.316977641093857</v>
      </c>
      <c r="U60" t="str">
        <f t="shared" ref="U60:U83" si="10">IF(ABS(T60)&gt;2.576,"***",IF(ABS(T60)&gt;1.96,"**",IF(ABS(T60)&gt;1.645,"*","")))</f>
        <v>***</v>
      </c>
    </row>
    <row r="61" spans="1:21" x14ac:dyDescent="0.25">
      <c r="A61" s="2"/>
      <c r="B61" s="4" t="s">
        <v>15</v>
      </c>
      <c r="C61" t="s">
        <v>59</v>
      </c>
      <c r="F61">
        <v>0.25351721512207598</v>
      </c>
      <c r="G61">
        <v>1.5114838930689642</v>
      </c>
      <c r="H61">
        <v>3.3545473595133979</v>
      </c>
      <c r="I61" t="str">
        <f t="shared" si="7"/>
        <v>***</v>
      </c>
      <c r="J61">
        <v>-99.71709335699731</v>
      </c>
      <c r="K61">
        <v>259.822007728122</v>
      </c>
      <c r="L61">
        <v>-7.6758003857272481</v>
      </c>
      <c r="M61" t="str">
        <f t="shared" si="8"/>
        <v>***</v>
      </c>
      <c r="N61">
        <v>-47.496851125256001</v>
      </c>
      <c r="O61">
        <v>9.9572809645339451</v>
      </c>
      <c r="P61">
        <v>-95.401247176676591</v>
      </c>
      <c r="Q61" t="str">
        <f t="shared" si="9"/>
        <v>***</v>
      </c>
      <c r="R61">
        <v>-18.02677450460342</v>
      </c>
      <c r="S61">
        <v>4.9529148104283802</v>
      </c>
      <c r="T61">
        <v>-72.792588585000402</v>
      </c>
      <c r="U61" t="str">
        <f t="shared" si="10"/>
        <v>***</v>
      </c>
    </row>
    <row r="62" spans="1:21" x14ac:dyDescent="0.25">
      <c r="A62" s="2"/>
      <c r="C62" t="s">
        <v>60</v>
      </c>
      <c r="F62">
        <v>23.414487095863961</v>
      </c>
      <c r="G62">
        <v>3.9247600345143518</v>
      </c>
      <c r="H62">
        <v>119.31678314066026</v>
      </c>
      <c r="I62" t="str">
        <f t="shared" si="7"/>
        <v>***</v>
      </c>
      <c r="J62">
        <v>121.57071489193623</v>
      </c>
      <c r="K62">
        <v>314.74092819176184</v>
      </c>
      <c r="L62">
        <v>7.7251290825365402</v>
      </c>
      <c r="M62" t="str">
        <f t="shared" si="8"/>
        <v>***</v>
      </c>
      <c r="N62">
        <v>-5.1630114121252522</v>
      </c>
      <c r="O62">
        <v>1.0799746112525479</v>
      </c>
      <c r="P62">
        <v>-95.613570140083652</v>
      </c>
      <c r="Q62" t="str">
        <f t="shared" si="9"/>
        <v>***</v>
      </c>
      <c r="R62">
        <v>-49.691557822536055</v>
      </c>
      <c r="S62">
        <v>14.311104240793227</v>
      </c>
      <c r="T62">
        <v>-69.444757003295763</v>
      </c>
      <c r="U62" t="str">
        <f t="shared" si="10"/>
        <v>***</v>
      </c>
    </row>
    <row r="63" spans="1:21" x14ac:dyDescent="0.25">
      <c r="A63" s="2"/>
      <c r="B63" s="4" t="s">
        <v>17</v>
      </c>
      <c r="C63" t="s">
        <v>61</v>
      </c>
      <c r="F63">
        <v>-34.630164313839742</v>
      </c>
      <c r="G63">
        <v>5.3514726453772363</v>
      </c>
      <c r="H63">
        <v>-129.42293312011719</v>
      </c>
      <c r="I63" t="str">
        <f t="shared" si="7"/>
        <v>***</v>
      </c>
      <c r="J63">
        <v>45.305282284896286</v>
      </c>
      <c r="K63">
        <v>175.23238714927152</v>
      </c>
      <c r="L63">
        <v>5.1708799979199078</v>
      </c>
      <c r="M63" t="str">
        <f t="shared" si="8"/>
        <v>***</v>
      </c>
      <c r="N63">
        <v>-48.365910962353198</v>
      </c>
      <c r="O63">
        <v>10.013743179974901</v>
      </c>
      <c r="P63">
        <v>-96.599064092383543</v>
      </c>
      <c r="Q63" t="str">
        <f t="shared" si="9"/>
        <v>***</v>
      </c>
      <c r="R63">
        <v>-14.753242268784458</v>
      </c>
      <c r="S63">
        <v>4.7841634470206138</v>
      </c>
      <c r="T63">
        <v>-61.675327075090578</v>
      </c>
      <c r="U63" t="str">
        <f t="shared" si="10"/>
        <v>***</v>
      </c>
    </row>
    <row r="64" spans="1:21" x14ac:dyDescent="0.25">
      <c r="A64" s="2"/>
      <c r="C64" t="s">
        <v>62</v>
      </c>
      <c r="F64">
        <v>10.247954999600621</v>
      </c>
      <c r="G64">
        <v>1.8461874500666866</v>
      </c>
      <c r="H64">
        <v>111.0174917420271</v>
      </c>
      <c r="I64" t="str">
        <f t="shared" si="7"/>
        <v>***</v>
      </c>
      <c r="J64">
        <v>228.51112162813598</v>
      </c>
      <c r="K64">
        <v>628.19357078551457</v>
      </c>
      <c r="L64">
        <v>7.2751817992151029</v>
      </c>
      <c r="M64" t="str">
        <f t="shared" si="8"/>
        <v>***</v>
      </c>
      <c r="N64">
        <v>-23.88964675847058</v>
      </c>
      <c r="O64">
        <v>4.5753625873374499</v>
      </c>
      <c r="P64">
        <v>-104.42733795387667</v>
      </c>
      <c r="Q64" t="str">
        <f t="shared" si="9"/>
        <v>***</v>
      </c>
      <c r="R64">
        <v>39.717325073878044</v>
      </c>
      <c r="S64">
        <v>11.720635641117861</v>
      </c>
      <c r="T64">
        <v>67.77332951899524</v>
      </c>
      <c r="U64" t="str">
        <f t="shared" si="10"/>
        <v>***</v>
      </c>
    </row>
    <row r="65" spans="1:21" x14ac:dyDescent="0.25">
      <c r="A65" s="2"/>
      <c r="C65" t="s">
        <v>48</v>
      </c>
      <c r="F65">
        <v>34.013706112599159</v>
      </c>
      <c r="G65">
        <v>3.1169453683408421</v>
      </c>
      <c r="H65">
        <v>218.25025525362179</v>
      </c>
      <c r="I65" t="str">
        <f t="shared" si="7"/>
        <v>***</v>
      </c>
      <c r="J65">
        <v>9.5055946554159778</v>
      </c>
      <c r="K65">
        <v>48.9893696578795</v>
      </c>
      <c r="L65">
        <v>3.880676449523202</v>
      </c>
      <c r="M65" t="str">
        <f t="shared" si="8"/>
        <v>***</v>
      </c>
      <c r="N65">
        <v>25.481351127915222</v>
      </c>
      <c r="O65">
        <v>4.6454806752411297</v>
      </c>
      <c r="P65">
        <v>109.7038300631509</v>
      </c>
      <c r="Q65" t="str">
        <f t="shared" si="9"/>
        <v>***</v>
      </c>
      <c r="R65">
        <v>32.084907214834281</v>
      </c>
      <c r="S65">
        <v>6.1653221783045193</v>
      </c>
      <c r="T65">
        <v>104.08185099471218</v>
      </c>
      <c r="U65" t="str">
        <f t="shared" si="10"/>
        <v>***</v>
      </c>
    </row>
    <row r="66" spans="1:21" x14ac:dyDescent="0.25">
      <c r="A66" s="2"/>
      <c r="C66" t="s">
        <v>49</v>
      </c>
      <c r="F66">
        <v>21.318490641461999</v>
      </c>
      <c r="G66">
        <v>2.659864071726064</v>
      </c>
      <c r="H66">
        <v>160.29759466338294</v>
      </c>
      <c r="I66" t="str">
        <f t="shared" si="7"/>
        <v>***</v>
      </c>
      <c r="J66">
        <v>55.372843037640244</v>
      </c>
      <c r="K66">
        <v>21.761938036096442</v>
      </c>
      <c r="L66">
        <v>50.889624762090158</v>
      </c>
      <c r="M66" t="str">
        <f t="shared" si="8"/>
        <v>***</v>
      </c>
      <c r="N66">
        <v>35.030510931112964</v>
      </c>
      <c r="O66">
        <v>3.289324701198332</v>
      </c>
      <c r="P66">
        <v>212.99515318965638</v>
      </c>
      <c r="Q66" t="str">
        <f t="shared" si="9"/>
        <v>***</v>
      </c>
      <c r="R66">
        <v>-35.353367513369903</v>
      </c>
      <c r="S66">
        <v>3.735608656344378</v>
      </c>
      <c r="T66">
        <v>-189.27768278578881</v>
      </c>
      <c r="U66" t="str">
        <f t="shared" si="10"/>
        <v>***</v>
      </c>
    </row>
    <row r="67" spans="1:21" x14ac:dyDescent="0.25">
      <c r="B67" t="s">
        <v>21</v>
      </c>
      <c r="C67" t="s">
        <v>63</v>
      </c>
      <c r="F67">
        <v>7.8239965505280384</v>
      </c>
      <c r="G67">
        <v>1.4464938381002257</v>
      </c>
      <c r="H67">
        <v>108.17877469569868</v>
      </c>
      <c r="I67" t="str">
        <f t="shared" si="7"/>
        <v>***</v>
      </c>
      <c r="J67">
        <v>9.5872597419688965</v>
      </c>
      <c r="K67">
        <v>28.674286408639279</v>
      </c>
      <c r="L67">
        <v>6.6870084265325236</v>
      </c>
      <c r="M67" t="str">
        <f t="shared" si="8"/>
        <v>***</v>
      </c>
      <c r="N67">
        <v>2.2550612166722259</v>
      </c>
      <c r="O67">
        <v>0.80128889577347118</v>
      </c>
      <c r="P67">
        <v>56.285847178637141</v>
      </c>
      <c r="Q67" t="str">
        <f t="shared" si="9"/>
        <v>***</v>
      </c>
      <c r="R67">
        <v>11.735732633361343</v>
      </c>
      <c r="S67">
        <v>3.4088465883342622</v>
      </c>
      <c r="T67">
        <v>68.854566078293502</v>
      </c>
      <c r="U67" t="str">
        <f t="shared" si="10"/>
        <v>***</v>
      </c>
    </row>
    <row r="68" spans="1:21" x14ac:dyDescent="0.25">
      <c r="C68" t="s">
        <v>64</v>
      </c>
      <c r="F68">
        <v>8.1410040618207553</v>
      </c>
      <c r="G68">
        <v>1.8366622271341191</v>
      </c>
      <c r="H68">
        <v>88.649986279989776</v>
      </c>
      <c r="I68" t="str">
        <f t="shared" si="7"/>
        <v>***</v>
      </c>
      <c r="J68">
        <v>11.448860106045025</v>
      </c>
      <c r="K68">
        <v>28.010999374867641</v>
      </c>
      <c r="L68">
        <v>8.1745459723349256</v>
      </c>
      <c r="M68" t="str">
        <f t="shared" si="8"/>
        <v>***</v>
      </c>
      <c r="N68">
        <v>-2.5534052104245619</v>
      </c>
      <c r="O68">
        <v>1.1482063555224538</v>
      </c>
      <c r="P68">
        <v>-44.476416597828681</v>
      </c>
      <c r="Q68" t="str">
        <f t="shared" si="9"/>
        <v>***</v>
      </c>
      <c r="R68">
        <v>2.5251420094690982</v>
      </c>
      <c r="S68">
        <v>1.2834845901598537</v>
      </c>
      <c r="T68">
        <v>39.348224806572858</v>
      </c>
      <c r="U68" t="str">
        <f t="shared" si="10"/>
        <v>***</v>
      </c>
    </row>
    <row r="69" spans="1:21" x14ac:dyDescent="0.25">
      <c r="B69" t="s">
        <v>23</v>
      </c>
      <c r="C69" t="s">
        <v>65</v>
      </c>
      <c r="F69">
        <v>2.824995151487748</v>
      </c>
      <c r="G69">
        <v>1.2776225015937248</v>
      </c>
      <c r="H69">
        <v>44.222689377555696</v>
      </c>
      <c r="I69" t="str">
        <f t="shared" si="7"/>
        <v>***</v>
      </c>
      <c r="J69">
        <v>65.254985918580346</v>
      </c>
      <c r="K69">
        <v>170.38755577546863</v>
      </c>
      <c r="L69">
        <v>7.6595952822483486</v>
      </c>
      <c r="M69" t="str">
        <f t="shared" si="8"/>
        <v>***</v>
      </c>
      <c r="N69">
        <v>6.2416528898787114</v>
      </c>
      <c r="O69">
        <v>1.1707674716911183</v>
      </c>
      <c r="P69">
        <v>106.6249796103908</v>
      </c>
      <c r="Q69" t="str">
        <f t="shared" si="9"/>
        <v>***</v>
      </c>
      <c r="R69">
        <v>21.398966143463738</v>
      </c>
      <c r="S69">
        <v>6.0111099068755678</v>
      </c>
      <c r="T69">
        <v>71.198053188105547</v>
      </c>
      <c r="U69" t="str">
        <f t="shared" si="10"/>
        <v>***</v>
      </c>
    </row>
    <row r="70" spans="1:21" x14ac:dyDescent="0.25">
      <c r="C70" t="s">
        <v>66</v>
      </c>
      <c r="F70">
        <v>10.104483312471395</v>
      </c>
      <c r="G70">
        <v>1.5865558281465033</v>
      </c>
      <c r="H70">
        <v>127.37633473983675</v>
      </c>
      <c r="I70" t="str">
        <f t="shared" si="7"/>
        <v>***</v>
      </c>
      <c r="J70">
        <v>-26.759166288721538</v>
      </c>
      <c r="K70">
        <v>71.136812724284098</v>
      </c>
      <c r="L70">
        <v>-7.5232963817021625</v>
      </c>
      <c r="M70" t="str">
        <f t="shared" si="8"/>
        <v>***</v>
      </c>
      <c r="N70">
        <v>-7.6201974903829806</v>
      </c>
      <c r="O70">
        <v>1.5147426823605867</v>
      </c>
      <c r="P70">
        <v>-100.61375544666909</v>
      </c>
      <c r="Q70" t="str">
        <f t="shared" si="9"/>
        <v>***</v>
      </c>
      <c r="R70">
        <v>15.437787859799423</v>
      </c>
      <c r="S70">
        <v>4.693436621454488</v>
      </c>
      <c r="T70">
        <v>65.784580063276877</v>
      </c>
      <c r="U70" t="str">
        <f t="shared" si="10"/>
        <v>***</v>
      </c>
    </row>
    <row r="71" spans="1:21" x14ac:dyDescent="0.25">
      <c r="B71" t="s">
        <v>25</v>
      </c>
      <c r="C71" t="s">
        <v>67</v>
      </c>
      <c r="F71">
        <v>4.89676850694911</v>
      </c>
      <c r="G71">
        <v>1.3081112111621365</v>
      </c>
      <c r="H71">
        <v>74.867770647707886</v>
      </c>
      <c r="I71" t="str">
        <f t="shared" si="7"/>
        <v>***</v>
      </c>
      <c r="J71">
        <v>20.641345271440898</v>
      </c>
      <c r="K71">
        <v>56.945695214046367</v>
      </c>
      <c r="L71">
        <v>7.2494839842957814</v>
      </c>
      <c r="M71" t="str">
        <f t="shared" si="8"/>
        <v>***</v>
      </c>
      <c r="N71">
        <v>4.7584394660799942</v>
      </c>
      <c r="O71">
        <v>0.98843316115569135</v>
      </c>
      <c r="P71">
        <v>96.28247317231552</v>
      </c>
      <c r="Q71" t="str">
        <f t="shared" si="9"/>
        <v>***</v>
      </c>
      <c r="R71">
        <v>14.076930055600332</v>
      </c>
      <c r="S71">
        <v>4.054244473380054</v>
      </c>
      <c r="T71">
        <v>69.442926533062717</v>
      </c>
      <c r="U71" t="str">
        <f t="shared" si="10"/>
        <v>***</v>
      </c>
    </row>
    <row r="72" spans="1:21" x14ac:dyDescent="0.25">
      <c r="C72" t="s">
        <v>68</v>
      </c>
      <c r="F72">
        <v>3.252576219772394</v>
      </c>
      <c r="G72">
        <v>1.6338855330318034</v>
      </c>
      <c r="H72">
        <v>39.814003539611278</v>
      </c>
      <c r="I72" t="str">
        <f t="shared" si="7"/>
        <v>***</v>
      </c>
      <c r="J72">
        <v>-33.52480775526486</v>
      </c>
      <c r="K72">
        <v>84.052458694286997</v>
      </c>
      <c r="L72">
        <v>-7.9771153101422643</v>
      </c>
      <c r="M72" t="str">
        <f t="shared" si="8"/>
        <v>***</v>
      </c>
      <c r="N72">
        <v>-2.1156367463915879</v>
      </c>
      <c r="O72">
        <v>1.0695972846076698</v>
      </c>
      <c r="P72">
        <v>-39.559501072735181</v>
      </c>
      <c r="Q72" t="str">
        <f t="shared" si="9"/>
        <v>***</v>
      </c>
      <c r="R72">
        <v>4.3221896681160841</v>
      </c>
      <c r="S72">
        <v>1.6561418185168495</v>
      </c>
      <c r="T72">
        <v>52.195888296411759</v>
      </c>
      <c r="U72" t="str">
        <f t="shared" si="10"/>
        <v>***</v>
      </c>
    </row>
    <row r="73" spans="1:21" x14ac:dyDescent="0.25">
      <c r="B73" t="s">
        <v>27</v>
      </c>
      <c r="C73" t="s">
        <v>69</v>
      </c>
      <c r="F73">
        <v>3.0431213194767119</v>
      </c>
      <c r="G73">
        <v>1.1230851848315599</v>
      </c>
      <c r="H73">
        <v>54.192172785773458</v>
      </c>
      <c r="I73" t="str">
        <f t="shared" si="7"/>
        <v>***</v>
      </c>
      <c r="J73">
        <v>29.27170157388354</v>
      </c>
      <c r="K73">
        <v>80.034553801469869</v>
      </c>
      <c r="L73">
        <v>7.3147659813269197</v>
      </c>
      <c r="M73" t="str">
        <f t="shared" si="8"/>
        <v>***</v>
      </c>
      <c r="N73">
        <v>3.3391187638653239</v>
      </c>
      <c r="O73">
        <v>0.77595559060536301</v>
      </c>
      <c r="P73">
        <v>86.06468731697143</v>
      </c>
      <c r="Q73" t="str">
        <f t="shared" si="9"/>
        <v>***</v>
      </c>
      <c r="R73">
        <v>8.1007238012163683</v>
      </c>
      <c r="S73">
        <v>2.5406259763458139</v>
      </c>
      <c r="T73">
        <v>63.769510952317759</v>
      </c>
      <c r="U73" t="str">
        <f t="shared" si="10"/>
        <v>***</v>
      </c>
    </row>
    <row r="74" spans="1:21" x14ac:dyDescent="0.25">
      <c r="C74" t="s">
        <v>70</v>
      </c>
      <c r="F74">
        <v>-8.5884244927051725</v>
      </c>
      <c r="G74">
        <v>1.4090787192950973</v>
      </c>
      <c r="H74">
        <v>-121.90127315245522</v>
      </c>
      <c r="I74" t="str">
        <f t="shared" si="7"/>
        <v>***</v>
      </c>
      <c r="J74">
        <v>-30.170348070244742</v>
      </c>
      <c r="K74">
        <v>77.950827569598985</v>
      </c>
      <c r="L74">
        <v>-7.7408666491210543</v>
      </c>
      <c r="M74" t="str">
        <f t="shared" si="8"/>
        <v>***</v>
      </c>
      <c r="N74">
        <v>2.6847544581854521</v>
      </c>
      <c r="O74">
        <v>0.80418449290674721</v>
      </c>
      <c r="P74">
        <v>66.769615228001541</v>
      </c>
      <c r="Q74" t="str">
        <f t="shared" si="9"/>
        <v>***</v>
      </c>
      <c r="R74">
        <v>13.471051372935257</v>
      </c>
      <c r="S74">
        <v>3.932679274524622</v>
      </c>
      <c r="T74">
        <v>68.508263362328833</v>
      </c>
      <c r="U74" t="str">
        <f t="shared" si="10"/>
        <v>***</v>
      </c>
    </row>
    <row r="75" spans="1:21" x14ac:dyDescent="0.25">
      <c r="B75" t="s">
        <v>29</v>
      </c>
      <c r="C75" t="s">
        <v>71</v>
      </c>
      <c r="F75">
        <v>0.59442641818297715</v>
      </c>
      <c r="G75">
        <v>0.79079998994313683</v>
      </c>
      <c r="H75">
        <v>15.033546427478331</v>
      </c>
      <c r="I75" t="str">
        <f t="shared" si="7"/>
        <v>***</v>
      </c>
      <c r="J75">
        <v>3.7082029464846937</v>
      </c>
      <c r="K75">
        <v>12.069968226297247</v>
      </c>
      <c r="L75">
        <v>6.1445115297081001</v>
      </c>
      <c r="M75" t="str">
        <f>IF(ABS(L75)&gt;2.576,"***",IF(ABS(L75)&gt;1.96,"**",IF(ABS(L75)&gt;1.645,"*","")))</f>
        <v>***</v>
      </c>
      <c r="N75">
        <v>0.76434754651662451</v>
      </c>
      <c r="O75">
        <v>0.5008057653714012</v>
      </c>
      <c r="P75">
        <v>30.52471035151838</v>
      </c>
      <c r="Q75" t="str">
        <f t="shared" si="9"/>
        <v>***</v>
      </c>
      <c r="R75">
        <v>3.0692533282997703</v>
      </c>
      <c r="S75">
        <v>1.241713301619193</v>
      </c>
      <c r="T75">
        <v>49.435780776407363</v>
      </c>
      <c r="U75" t="str">
        <f t="shared" si="10"/>
        <v>***</v>
      </c>
    </row>
    <row r="76" spans="1:21" x14ac:dyDescent="0.25">
      <c r="C76" t="s">
        <v>72</v>
      </c>
      <c r="F76">
        <v>-6.548572120595054</v>
      </c>
      <c r="G76">
        <v>1.3415912398102192</v>
      </c>
      <c r="H76">
        <v>-97.623954693106256</v>
      </c>
      <c r="I76" t="str">
        <f t="shared" si="7"/>
        <v>***</v>
      </c>
      <c r="J76">
        <v>13.02149012618116</v>
      </c>
      <c r="K76">
        <v>36.762453612174738</v>
      </c>
      <c r="L76">
        <v>7.0841246145054884</v>
      </c>
      <c r="M76" t="str">
        <f t="shared" si="8"/>
        <v>***</v>
      </c>
      <c r="N76">
        <v>1.1056933876257593</v>
      </c>
      <c r="O76">
        <v>1.0155138513730961</v>
      </c>
      <c r="P76">
        <v>21.776037542584561</v>
      </c>
      <c r="Q76" t="str">
        <f t="shared" si="9"/>
        <v>***</v>
      </c>
      <c r="R76">
        <v>-6.7182989480702879</v>
      </c>
      <c r="S76">
        <v>2.1317917586027422</v>
      </c>
      <c r="T76">
        <v>-63.029598655299395</v>
      </c>
      <c r="U76" t="str">
        <f t="shared" si="10"/>
        <v>***</v>
      </c>
    </row>
    <row r="77" spans="1:21" x14ac:dyDescent="0.25">
      <c r="B77" t="s">
        <v>31</v>
      </c>
      <c r="C77" t="s">
        <v>73</v>
      </c>
      <c r="F77">
        <v>-0.47523473486859563</v>
      </c>
      <c r="G77">
        <v>0.67228141487816806</v>
      </c>
      <c r="H77">
        <v>-14.137970330615744</v>
      </c>
      <c r="I77" t="str">
        <f t="shared" si="7"/>
        <v>***</v>
      </c>
      <c r="J77">
        <v>-22.63622690939534</v>
      </c>
      <c r="K77">
        <v>56.099496758133462</v>
      </c>
      <c r="L77">
        <v>-8.0700285091642936</v>
      </c>
      <c r="M77" t="str">
        <f t="shared" si="8"/>
        <v>***</v>
      </c>
      <c r="N77">
        <v>-1.245061488514003</v>
      </c>
      <c r="O77">
        <v>0.57871632866706779</v>
      </c>
      <c r="P77">
        <v>-43.028386338491586</v>
      </c>
      <c r="Q77" t="str">
        <f t="shared" si="9"/>
        <v>***</v>
      </c>
      <c r="R77">
        <v>-2.147225705081564</v>
      </c>
      <c r="S77">
        <v>0.99916474836630009</v>
      </c>
      <c r="T77">
        <v>-42.980413562276254</v>
      </c>
      <c r="U77" t="str">
        <f t="shared" si="10"/>
        <v>***</v>
      </c>
    </row>
    <row r="78" spans="1:21" x14ac:dyDescent="0.25">
      <c r="C78" t="s">
        <v>74</v>
      </c>
      <c r="F78">
        <v>-1.8028174481725947</v>
      </c>
      <c r="G78">
        <v>0.86761330344354515</v>
      </c>
      <c r="H78">
        <v>-41.558086788601258</v>
      </c>
      <c r="I78" t="str">
        <f t="shared" si="7"/>
        <v>***</v>
      </c>
      <c r="J78">
        <v>-16.006197519125781</v>
      </c>
      <c r="K78">
        <v>42.361402608268961</v>
      </c>
      <c r="L78">
        <v>-7.5569724010986192</v>
      </c>
      <c r="M78" t="str">
        <f t="shared" si="8"/>
        <v>***</v>
      </c>
      <c r="N78">
        <v>-0.72417907859352759</v>
      </c>
      <c r="O78">
        <v>1.0511458917203296</v>
      </c>
      <c r="P78">
        <v>-13.778850001655229</v>
      </c>
      <c r="Q78" t="str">
        <f t="shared" si="9"/>
        <v>***</v>
      </c>
      <c r="R78">
        <v>2.289335102861672</v>
      </c>
      <c r="S78">
        <v>1.2618887316460876</v>
      </c>
      <c r="T78">
        <v>36.284262557370162</v>
      </c>
      <c r="U78" t="str">
        <f t="shared" si="10"/>
        <v>***</v>
      </c>
    </row>
    <row r="79" spans="1:21" x14ac:dyDescent="0.25">
      <c r="B79" t="s">
        <v>33</v>
      </c>
      <c r="C79" t="s">
        <v>75</v>
      </c>
      <c r="F79">
        <v>-0.81572450205864888</v>
      </c>
      <c r="G79">
        <v>0.61182388057307957</v>
      </c>
      <c r="H79">
        <v>-26.665337132463041</v>
      </c>
      <c r="I79" t="str">
        <f t="shared" si="7"/>
        <v>***</v>
      </c>
      <c r="J79">
        <v>-11.175761971179821</v>
      </c>
      <c r="K79">
        <v>28.311189008414843</v>
      </c>
      <c r="L79">
        <v>-7.8949435630259721</v>
      </c>
      <c r="M79" t="str">
        <f t="shared" si="8"/>
        <v>***</v>
      </c>
      <c r="N79">
        <v>-1.0928947769454496</v>
      </c>
      <c r="O79">
        <v>0.56629751466941181</v>
      </c>
      <c r="P79">
        <v>-38.597901231597319</v>
      </c>
      <c r="Q79" t="str">
        <f t="shared" si="9"/>
        <v>***</v>
      </c>
      <c r="R79">
        <v>-1.1175327099675232</v>
      </c>
      <c r="S79">
        <v>0.91647056536424287</v>
      </c>
      <c r="T79">
        <v>-24.387749093139082</v>
      </c>
      <c r="U79" t="str">
        <f t="shared" si="10"/>
        <v>***</v>
      </c>
    </row>
    <row r="80" spans="1:21" x14ac:dyDescent="0.25">
      <c r="C80" t="s">
        <v>76</v>
      </c>
      <c r="F80">
        <v>-3.2965913836735661</v>
      </c>
      <c r="G80">
        <v>0.89928617428650748</v>
      </c>
      <c r="H80">
        <v>-73.315735923307784</v>
      </c>
      <c r="I80" t="str">
        <f t="shared" si="7"/>
        <v>***</v>
      </c>
      <c r="J80">
        <v>-51.513924167172092</v>
      </c>
      <c r="K80">
        <v>138.7169855245387</v>
      </c>
      <c r="L80">
        <v>-7.4271977541004741</v>
      </c>
      <c r="M80" t="str">
        <f t="shared" si="8"/>
        <v>***</v>
      </c>
      <c r="N80">
        <v>-3.4104190082874903</v>
      </c>
      <c r="O80">
        <v>0.96620620921485956</v>
      </c>
      <c r="P80">
        <v>-70.594019698109818</v>
      </c>
      <c r="Q80" t="str">
        <f t="shared" si="9"/>
        <v>***</v>
      </c>
      <c r="R80">
        <v>3.8752265385303359</v>
      </c>
      <c r="S80">
        <v>1.4721858109959487</v>
      </c>
      <c r="T80">
        <v>52.645888984743095</v>
      </c>
      <c r="U80" t="str">
        <f t="shared" si="10"/>
        <v>***</v>
      </c>
    </row>
    <row r="81" spans="2:34" x14ac:dyDescent="0.25">
      <c r="C81" t="s">
        <v>77</v>
      </c>
      <c r="F81">
        <v>-33.922149445025475</v>
      </c>
      <c r="G81">
        <v>7.3507414402520519</v>
      </c>
      <c r="H81">
        <v>-92.295858100165532</v>
      </c>
      <c r="I81" t="str">
        <f t="shared" si="7"/>
        <v>***</v>
      </c>
      <c r="J81">
        <v>106.76101500250766</v>
      </c>
      <c r="K81">
        <v>102.7312405026785</v>
      </c>
      <c r="L81">
        <v>20.784527565346419</v>
      </c>
      <c r="M81" t="str">
        <f t="shared" si="8"/>
        <v>***</v>
      </c>
      <c r="N81">
        <v>-9.6779792590790912</v>
      </c>
      <c r="O81">
        <v>1.1322150835281677</v>
      </c>
      <c r="P81">
        <v>-170.95655056848247</v>
      </c>
      <c r="Q81" t="str">
        <f t="shared" si="9"/>
        <v>***</v>
      </c>
      <c r="R81">
        <v>3.3254478309857838</v>
      </c>
      <c r="S81">
        <v>1.7066148818592559</v>
      </c>
      <c r="T81">
        <v>38.97127426151242</v>
      </c>
      <c r="U81" t="str">
        <f t="shared" si="10"/>
        <v>***</v>
      </c>
    </row>
    <row r="82" spans="2:34" x14ac:dyDescent="0.25">
      <c r="B82" t="s">
        <v>52</v>
      </c>
      <c r="C82" t="s">
        <v>78</v>
      </c>
      <c r="F82">
        <v>-34.883681528961816</v>
      </c>
      <c r="G82">
        <v>9.5182381601726913</v>
      </c>
      <c r="H82">
        <v>-73.298610398143055</v>
      </c>
      <c r="I82" t="str">
        <f t="shared" si="7"/>
        <v>***</v>
      </c>
      <c r="J82">
        <v>145.02237564189363</v>
      </c>
      <c r="K82">
        <v>140.73896219376911</v>
      </c>
      <c r="L82">
        <v>20.608703287470199</v>
      </c>
      <c r="M82" t="str">
        <f t="shared" si="8"/>
        <v>***</v>
      </c>
      <c r="N82">
        <v>-0.8690598370972058</v>
      </c>
      <c r="O82">
        <v>0.93828557455364658</v>
      </c>
      <c r="P82">
        <v>-18.524420723629429</v>
      </c>
      <c r="Q82" t="str">
        <f t="shared" si="9"/>
        <v>***</v>
      </c>
      <c r="R82">
        <v>3.273532235818962</v>
      </c>
      <c r="S82">
        <v>1.5460605809846959</v>
      </c>
      <c r="T82">
        <v>42.346752463399937</v>
      </c>
      <c r="U82" t="str">
        <f t="shared" si="10"/>
        <v>***</v>
      </c>
    </row>
    <row r="83" spans="2:34" x14ac:dyDescent="0.25">
      <c r="B83" t="s">
        <v>53</v>
      </c>
      <c r="C83" t="s">
        <v>79</v>
      </c>
      <c r="F83">
        <v>-0.96153208393633061</v>
      </c>
      <c r="G83">
        <v>3.8727502380042722</v>
      </c>
      <c r="H83">
        <v>-4.9656292032497964</v>
      </c>
      <c r="I83" t="str">
        <f t="shared" si="7"/>
        <v>***</v>
      </c>
      <c r="J83">
        <v>38.261360639385941</v>
      </c>
      <c r="K83">
        <v>38.164604722881897</v>
      </c>
      <c r="L83">
        <v>20.0507045296062</v>
      </c>
      <c r="M83" t="str">
        <f t="shared" si="8"/>
        <v>***</v>
      </c>
      <c r="N83">
        <v>8.8089194219818836</v>
      </c>
      <c r="O83">
        <v>1.1742544030900324</v>
      </c>
      <c r="P83">
        <v>150.03425831406463</v>
      </c>
      <c r="Q83" t="str">
        <f t="shared" si="9"/>
        <v>***</v>
      </c>
      <c r="R83">
        <v>-5.1915595166822641E-2</v>
      </c>
      <c r="S83">
        <v>0.66203796044236196</v>
      </c>
      <c r="T83">
        <v>-1.5683570510710163</v>
      </c>
      <c r="U83" t="str">
        <f t="shared" si="10"/>
        <v/>
      </c>
    </row>
    <row r="84" spans="2:34" x14ac:dyDescent="0.25">
      <c r="B84" t="s">
        <v>54</v>
      </c>
    </row>
    <row r="85" spans="2:34" ht="15.75" thickBot="1" x14ac:dyDescent="0.3"/>
    <row r="86" spans="2:34" x14ac:dyDescent="0.25">
      <c r="E86" s="24" t="s">
        <v>105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4"/>
    </row>
    <row r="87" spans="2:34" x14ac:dyDescent="0.25">
      <c r="E87" s="15"/>
      <c r="G87" t="s">
        <v>85</v>
      </c>
      <c r="H87" t="s">
        <v>85</v>
      </c>
      <c r="I87" t="s">
        <v>86</v>
      </c>
      <c r="J87" t="s">
        <v>85</v>
      </c>
      <c r="K87" t="s">
        <v>5</v>
      </c>
      <c r="L87" t="s">
        <v>5</v>
      </c>
      <c r="M87" t="s">
        <v>5</v>
      </c>
      <c r="N87" t="s">
        <v>5</v>
      </c>
      <c r="O87" t="s">
        <v>87</v>
      </c>
      <c r="P87" t="s">
        <v>87</v>
      </c>
      <c r="Q87" t="s">
        <v>87</v>
      </c>
      <c r="R87" t="s">
        <v>87</v>
      </c>
      <c r="AH87" s="16"/>
    </row>
    <row r="88" spans="2:34" x14ac:dyDescent="0.25">
      <c r="E88" s="15" t="s">
        <v>88</v>
      </c>
      <c r="F88" t="s">
        <v>89</v>
      </c>
      <c r="G88" t="s">
        <v>90</v>
      </c>
      <c r="H88" t="s">
        <v>91</v>
      </c>
      <c r="I88" t="s">
        <v>92</v>
      </c>
      <c r="J88" t="s">
        <v>81</v>
      </c>
      <c r="K88" t="s">
        <v>90</v>
      </c>
      <c r="L88" t="s">
        <v>91</v>
      </c>
      <c r="M88" t="s">
        <v>92</v>
      </c>
      <c r="N88" t="s">
        <v>81</v>
      </c>
      <c r="O88" t="s">
        <v>90</v>
      </c>
      <c r="P88" t="s">
        <v>91</v>
      </c>
      <c r="Q88" t="s">
        <v>92</v>
      </c>
      <c r="R88" t="s">
        <v>81</v>
      </c>
      <c r="W88" s="17" t="s">
        <v>93</v>
      </c>
      <c r="AH88" s="16"/>
    </row>
    <row r="89" spans="2:34" x14ac:dyDescent="0.25">
      <c r="E89" s="15">
        <v>1</v>
      </c>
      <c r="F89" s="4" t="s">
        <v>94</v>
      </c>
      <c r="G89" s="19">
        <f>F4</f>
        <v>4.9730594670542363</v>
      </c>
      <c r="H89" s="19">
        <v>0</v>
      </c>
      <c r="I89" s="19">
        <f>N4</f>
        <v>-13.071909428734925</v>
      </c>
      <c r="J89" s="19">
        <f>R4</f>
        <v>-34.680472623381384</v>
      </c>
      <c r="K89" s="19">
        <f>G4</f>
        <v>3.1019708681880545</v>
      </c>
      <c r="L89" s="19">
        <v>0</v>
      </c>
      <c r="M89" s="19">
        <f>O4</f>
        <v>2.2130005074804178</v>
      </c>
      <c r="N89" s="19">
        <f>S4</f>
        <v>14.933787298364777</v>
      </c>
      <c r="O89" s="19">
        <f>F5</f>
        <v>-34.539408260867923</v>
      </c>
      <c r="P89" s="19">
        <v>0</v>
      </c>
      <c r="Q89" s="19">
        <f>N5</f>
        <v>-13.429718712857902</v>
      </c>
      <c r="R89" s="19">
        <f>R5</f>
        <v>-68.507664391873178</v>
      </c>
      <c r="V89" s="19"/>
      <c r="W89" s="19">
        <f>G89</f>
        <v>4.9730594670542363</v>
      </c>
      <c r="X89" s="19">
        <f>H89</f>
        <v>0</v>
      </c>
      <c r="Y89" s="19">
        <f>I89</f>
        <v>-13.071909428734925</v>
      </c>
      <c r="Z89" s="19">
        <f>J89</f>
        <v>-34.680472623381384</v>
      </c>
      <c r="AA89" s="19">
        <f t="shared" ref="AA89" si="11">K89</f>
        <v>3.1019708681880545</v>
      </c>
      <c r="AB89" s="19">
        <f t="shared" ref="AB89" si="12">L89</f>
        <v>0</v>
      </c>
      <c r="AC89" s="19">
        <f t="shared" ref="AC89" si="13">M89</f>
        <v>2.2130005074804178</v>
      </c>
      <c r="AD89" s="19">
        <f t="shared" ref="AD89" si="14">N89</f>
        <v>14.933787298364777</v>
      </c>
      <c r="AE89" s="19">
        <f t="shared" ref="AE89" si="15">O89</f>
        <v>-34.539408260867923</v>
      </c>
      <c r="AF89" s="19">
        <f t="shared" ref="AF89" si="16">P89</f>
        <v>0</v>
      </c>
      <c r="AG89" s="19">
        <f t="shared" ref="AG89:AH89" si="17">Q89</f>
        <v>-13.429718712857902</v>
      </c>
      <c r="AH89" s="25">
        <f t="shared" si="17"/>
        <v>-68.507664391873178</v>
      </c>
    </row>
    <row r="90" spans="2:34" x14ac:dyDescent="0.25">
      <c r="E90" s="15">
        <v>1</v>
      </c>
      <c r="F90" s="4" t="s">
        <v>95</v>
      </c>
      <c r="G90" s="19">
        <f>F6</f>
        <v>1.1113629455879783</v>
      </c>
      <c r="H90" s="19">
        <v>0</v>
      </c>
      <c r="I90" s="19">
        <f>N6</f>
        <v>-17.569235083998393</v>
      </c>
      <c r="J90" s="19">
        <f>R6</f>
        <v>-29.163777436765002</v>
      </c>
      <c r="K90" s="19">
        <f>G6</f>
        <v>2.4999326769039678</v>
      </c>
      <c r="L90" s="19">
        <v>0</v>
      </c>
      <c r="M90" s="19">
        <f>O6</f>
        <v>3.0627731785106285</v>
      </c>
      <c r="N90" s="19">
        <f>S6</f>
        <v>12.72201934599738</v>
      </c>
      <c r="O90" s="19">
        <f>F7</f>
        <v>-38.836107885850943</v>
      </c>
      <c r="P90" s="19">
        <v>0</v>
      </c>
      <c r="Q90" s="19">
        <f>N7</f>
        <v>16.867056799299583</v>
      </c>
      <c r="R90" s="19">
        <f>R7</f>
        <v>-71.513488699955857</v>
      </c>
      <c r="W90" t="str">
        <f>_xlfn.CONCAT(W89,", ",G90)</f>
        <v>4.97305946705424, 1.11136294558798</v>
      </c>
      <c r="X90" t="str">
        <f t="shared" ref="X90:AH97" si="18">_xlfn.CONCAT(X89,", ",H90)</f>
        <v>0, 0</v>
      </c>
      <c r="Y90" t="str">
        <f t="shared" si="18"/>
        <v>-13.0719094287349, -17.5692350839984</v>
      </c>
      <c r="Z90" t="str">
        <f t="shared" si="18"/>
        <v>-34.6804726233814, -29.163777436765</v>
      </c>
      <c r="AA90" t="str">
        <f t="shared" si="18"/>
        <v>3.10197086818805, 2.49993267690397</v>
      </c>
      <c r="AB90" t="str">
        <f t="shared" si="18"/>
        <v>0, 0</v>
      </c>
      <c r="AC90" t="str">
        <f t="shared" si="18"/>
        <v>2.21300050748042, 3.06277317851063</v>
      </c>
      <c r="AD90" t="str">
        <f t="shared" si="18"/>
        <v>14.9337872983648, 12.7220193459974</v>
      </c>
      <c r="AE90" t="str">
        <f t="shared" si="18"/>
        <v>-34.5394082608679, -38.8361078858509</v>
      </c>
      <c r="AF90" t="str">
        <f t="shared" si="18"/>
        <v>0, 0</v>
      </c>
      <c r="AG90" t="str">
        <f t="shared" si="18"/>
        <v>-13.4297187128579, 16.8670567992996</v>
      </c>
      <c r="AH90" t="str">
        <f t="shared" si="18"/>
        <v>-68.5076643918732, -71.5134886999559</v>
      </c>
    </row>
    <row r="91" spans="2:34" x14ac:dyDescent="0.25">
      <c r="E91" s="15">
        <v>1</v>
      </c>
      <c r="F91" s="4" t="s">
        <v>96</v>
      </c>
      <c r="G91" s="19">
        <f>F8</f>
        <v>-58.157444369962477</v>
      </c>
      <c r="H91" s="19">
        <v>0</v>
      </c>
      <c r="I91" s="19">
        <f>N8</f>
        <v>-30.207851271999601</v>
      </c>
      <c r="J91" s="19">
        <f>R8</f>
        <v>-52.696284479915207</v>
      </c>
      <c r="K91" s="19">
        <f>G8</f>
        <v>13.481263421046046</v>
      </c>
      <c r="L91" s="19">
        <v>0</v>
      </c>
      <c r="M91" s="19">
        <f>O8</f>
        <v>5.0336079777138369</v>
      </c>
      <c r="N91" s="19">
        <f>S8</f>
        <v>22.4681269010031</v>
      </c>
      <c r="O91" s="19">
        <f>F9</f>
        <v>-42.474317033909237</v>
      </c>
      <c r="P91" s="19">
        <v>0</v>
      </c>
      <c r="Q91" s="19">
        <f>N9</f>
        <v>16.456969903669268</v>
      </c>
      <c r="R91" s="19">
        <f>R9</f>
        <v>36.343274548944805</v>
      </c>
      <c r="W91" t="str">
        <f t="shared" ref="W91:W97" si="19">_xlfn.CONCAT(W90,", ",G91)</f>
        <v>4.97305946705424, 1.11136294558798, -58.1574443699625</v>
      </c>
      <c r="X91" t="str">
        <f t="shared" si="18"/>
        <v>0, 0, 0</v>
      </c>
      <c r="Y91" t="str">
        <f t="shared" si="18"/>
        <v>-13.0719094287349, -17.5692350839984, -30.2078512719996</v>
      </c>
      <c r="Z91" t="str">
        <f t="shared" si="18"/>
        <v>-34.6804726233814, -29.163777436765, -52.6962844799152</v>
      </c>
      <c r="AA91" t="str">
        <f t="shared" si="18"/>
        <v>3.10197086818805, 2.49993267690397, 13.481263421046</v>
      </c>
      <c r="AB91" t="str">
        <f t="shared" si="18"/>
        <v>0, 0, 0</v>
      </c>
      <c r="AC91" t="str">
        <f t="shared" si="18"/>
        <v>2.21300050748042, 3.06277317851063, 5.03360797771384</v>
      </c>
      <c r="AD91" t="str">
        <f t="shared" si="18"/>
        <v>14.9337872983648, 12.7220193459974, 22.4681269010031</v>
      </c>
      <c r="AE91" t="str">
        <f t="shared" si="18"/>
        <v>-34.5394082608679, -38.8361078858509, -42.4743170339092</v>
      </c>
      <c r="AF91" t="str">
        <f t="shared" si="18"/>
        <v>0, 0, 0</v>
      </c>
      <c r="AG91" t="str">
        <f t="shared" si="18"/>
        <v>-13.4297187128579, 16.8670567992996, 16.4569699036693</v>
      </c>
      <c r="AH91" t="str">
        <f t="shared" si="18"/>
        <v>-68.5076643918732, -71.5134886999559, 36.3432745489448</v>
      </c>
    </row>
    <row r="92" spans="2:34" x14ac:dyDescent="0.25">
      <c r="E92" s="15">
        <v>2</v>
      </c>
      <c r="F92" t="s">
        <v>97</v>
      </c>
      <c r="G92" s="19">
        <f>F12</f>
        <v>4.3510858481855283</v>
      </c>
      <c r="H92" s="19">
        <v>0</v>
      </c>
      <c r="I92" s="19">
        <f>N12</f>
        <v>3.1012986154799038</v>
      </c>
      <c r="J92" s="19">
        <f>R12</f>
        <v>12.859726365132545</v>
      </c>
      <c r="K92" s="19">
        <f>G12</f>
        <v>1.9357352105024845</v>
      </c>
      <c r="L92" s="19">
        <v>0</v>
      </c>
      <c r="M92" s="19">
        <f>O12</f>
        <v>0.97651340423615118</v>
      </c>
      <c r="N92" s="19">
        <f>S12</f>
        <v>6.1091206597438763</v>
      </c>
      <c r="O92" s="19">
        <f>F13</f>
        <v>-7.9405055909182547</v>
      </c>
      <c r="P92" s="19">
        <v>0</v>
      </c>
      <c r="Q92" s="19">
        <f>N13</f>
        <v>-2.2585450100117459</v>
      </c>
      <c r="R92" s="19">
        <f>R13</f>
        <v>-5.6650876263172103</v>
      </c>
      <c r="W92" t="str">
        <f t="shared" si="19"/>
        <v>4.97305946705424, 1.11136294558798, -58.1574443699625, 4.35108584818553</v>
      </c>
      <c r="X92" t="str">
        <f t="shared" si="18"/>
        <v>0, 0, 0, 0</v>
      </c>
      <c r="Y92" t="str">
        <f t="shared" si="18"/>
        <v>-13.0719094287349, -17.5692350839984, -30.2078512719996, 3.1012986154799</v>
      </c>
      <c r="Z92" t="str">
        <f t="shared" si="18"/>
        <v>-34.6804726233814, -29.163777436765, -52.6962844799152, 12.8597263651325</v>
      </c>
      <c r="AA92" t="str">
        <f t="shared" si="18"/>
        <v>3.10197086818805, 2.49993267690397, 13.481263421046, 1.93573521050248</v>
      </c>
      <c r="AB92" t="str">
        <f t="shared" si="18"/>
        <v>0, 0, 0, 0</v>
      </c>
      <c r="AC92" t="str">
        <f t="shared" si="18"/>
        <v>2.21300050748042, 3.06277317851063, 5.03360797771384, 0.976513404236151</v>
      </c>
      <c r="AD92" t="str">
        <f t="shared" si="18"/>
        <v>14.9337872983648, 12.7220193459974, 22.4681269010031, 6.10912065974388</v>
      </c>
      <c r="AE92" t="str">
        <f t="shared" si="18"/>
        <v>-34.5394082608679, -38.8361078858509, -42.4743170339092, -7.94050559091825</v>
      </c>
      <c r="AF92" t="str">
        <f t="shared" si="18"/>
        <v>0, 0, 0, 0</v>
      </c>
      <c r="AG92" t="str">
        <f t="shared" si="18"/>
        <v>-13.4297187128579, 16.8670567992996, 16.4569699036693, -2.25854501001175</v>
      </c>
      <c r="AH92" t="str">
        <f t="shared" si="18"/>
        <v>-68.5076643918732, -71.5134886999559, 36.3432745489448, -5.66508762631721</v>
      </c>
    </row>
    <row r="93" spans="2:34" x14ac:dyDescent="0.25">
      <c r="E93" s="15">
        <v>2</v>
      </c>
      <c r="F93" t="s">
        <v>98</v>
      </c>
      <c r="G93" s="19">
        <f>F14</f>
        <v>6.6793160531735261</v>
      </c>
      <c r="H93" s="19">
        <v>0</v>
      </c>
      <c r="I93" s="19">
        <f>N14</f>
        <v>4.9075879322842457</v>
      </c>
      <c r="J93" s="19">
        <f>R14</f>
        <v>25.671695592456679</v>
      </c>
      <c r="K93" s="19">
        <f>G14</f>
        <v>2.1792401686740801</v>
      </c>
      <c r="L93" s="19">
        <v>0</v>
      </c>
      <c r="M93" s="19">
        <f>O14</f>
        <v>1.1914476226097879</v>
      </c>
      <c r="N93" s="19">
        <f>S14</f>
        <v>11.327759822071732</v>
      </c>
      <c r="O93" s="19">
        <f>F15</f>
        <v>-8.194776868369356</v>
      </c>
      <c r="P93" s="19">
        <v>0</v>
      </c>
      <c r="Q93" s="19">
        <f>N15</f>
        <v>6.6143679041409262</v>
      </c>
      <c r="R93" s="19">
        <f>R15</f>
        <v>-27.62187793340296</v>
      </c>
      <c r="W93" t="str">
        <f t="shared" si="19"/>
        <v>4.97305946705424, 1.11136294558798, -58.1574443699625, 4.35108584818553, 6.67931605317353</v>
      </c>
      <c r="X93" t="str">
        <f t="shared" si="18"/>
        <v>0, 0, 0, 0, 0</v>
      </c>
      <c r="Y93" t="str">
        <f t="shared" si="18"/>
        <v>-13.0719094287349, -17.5692350839984, -30.2078512719996, 3.1012986154799, 4.90758793228425</v>
      </c>
      <c r="Z93" t="str">
        <f t="shared" si="18"/>
        <v>-34.6804726233814, -29.163777436765, -52.6962844799152, 12.8597263651325, 25.6716955924567</v>
      </c>
      <c r="AA93" t="str">
        <f t="shared" si="18"/>
        <v>3.10197086818805, 2.49993267690397, 13.481263421046, 1.93573521050248, 2.17924016867408</v>
      </c>
      <c r="AB93" t="str">
        <f t="shared" si="18"/>
        <v>0, 0, 0, 0, 0</v>
      </c>
      <c r="AC93" t="str">
        <f t="shared" si="18"/>
        <v>2.21300050748042, 3.06277317851063, 5.03360797771384, 0.976513404236151, 1.19144762260979</v>
      </c>
      <c r="AD93" t="str">
        <f t="shared" si="18"/>
        <v>14.9337872983648, 12.7220193459974, 22.4681269010031, 6.10912065974388, 11.3277598220717</v>
      </c>
      <c r="AE93" t="str">
        <f t="shared" si="18"/>
        <v>-34.5394082608679, -38.8361078858509, -42.4743170339092, -7.94050559091825, -8.19477686836936</v>
      </c>
      <c r="AF93" t="str">
        <f t="shared" si="18"/>
        <v>0, 0, 0, 0, 0</v>
      </c>
      <c r="AG93" t="str">
        <f t="shared" si="18"/>
        <v>-13.4297187128579, 16.8670567992996, 16.4569699036693, -2.25854501001175, 6.61436790414093</v>
      </c>
      <c r="AH93" t="str">
        <f t="shared" si="18"/>
        <v>-68.5076643918732, -71.5134886999559, 36.3432745489448, -5.66508762631721, -27.621877933403</v>
      </c>
    </row>
    <row r="94" spans="2:34" x14ac:dyDescent="0.25">
      <c r="E94" s="15">
        <v>2</v>
      </c>
      <c r="F94" t="s">
        <v>99</v>
      </c>
      <c r="G94" s="19">
        <f>F16</f>
        <v>7.9752667152866277</v>
      </c>
      <c r="H94" s="19">
        <v>0</v>
      </c>
      <c r="I94" s="19">
        <f>N16</f>
        <v>3.8961971672681579</v>
      </c>
      <c r="J94" s="19">
        <f>R16</f>
        <v>14.133068494328199</v>
      </c>
      <c r="K94" s="19">
        <f>G16</f>
        <v>2.2987438797845421</v>
      </c>
      <c r="L94" s="19">
        <v>0</v>
      </c>
      <c r="M94" s="19">
        <f>O16</f>
        <v>0.96305761416600499</v>
      </c>
      <c r="N94" s="19">
        <f>S16</f>
        <v>6.4018217594621589</v>
      </c>
      <c r="O94" s="19">
        <f>F17</f>
        <v>5.4352549089670443</v>
      </c>
      <c r="P94" s="19">
        <v>0</v>
      </c>
      <c r="Q94" s="19">
        <f>N17</f>
        <v>1.6189271312628497</v>
      </c>
      <c r="R94" s="19">
        <f>R17</f>
        <v>-0.3518863897813968</v>
      </c>
      <c r="W94" t="str">
        <f t="shared" si="19"/>
        <v>4.97305946705424, 1.11136294558798, -58.1574443699625, 4.35108584818553, 6.67931605317353, 7.97526671528663</v>
      </c>
      <c r="X94" t="str">
        <f t="shared" si="18"/>
        <v>0, 0, 0, 0, 0, 0</v>
      </c>
      <c r="Y94" t="str">
        <f t="shared" si="18"/>
        <v>-13.0719094287349, -17.5692350839984, -30.2078512719996, 3.1012986154799, 4.90758793228425, 3.89619716726816</v>
      </c>
      <c r="Z94" t="str">
        <f t="shared" si="18"/>
        <v>-34.6804726233814, -29.163777436765, -52.6962844799152, 12.8597263651325, 25.6716955924567, 14.1330684943282</v>
      </c>
      <c r="AA94" t="str">
        <f t="shared" si="18"/>
        <v>3.10197086818805, 2.49993267690397, 13.481263421046, 1.93573521050248, 2.17924016867408, 2.29874387978454</v>
      </c>
      <c r="AB94" t="str">
        <f t="shared" si="18"/>
        <v>0, 0, 0, 0, 0, 0</v>
      </c>
      <c r="AC94" t="str">
        <f t="shared" si="18"/>
        <v>2.21300050748042, 3.06277317851063, 5.03360797771384, 0.976513404236151, 1.19144762260979, 0.963057614166005</v>
      </c>
      <c r="AD94" t="str">
        <f t="shared" si="18"/>
        <v>14.9337872983648, 12.7220193459974, 22.4681269010031, 6.10912065974388, 11.3277598220717, 6.40182175946216</v>
      </c>
      <c r="AE94" t="str">
        <f t="shared" si="18"/>
        <v>-34.5394082608679, -38.8361078858509, -42.4743170339092, -7.94050559091825, -8.19477686836936, 5.43525490896704</v>
      </c>
      <c r="AF94" t="str">
        <f t="shared" si="18"/>
        <v>0, 0, 0, 0, 0, 0</v>
      </c>
      <c r="AG94" t="str">
        <f t="shared" si="18"/>
        <v>-13.4297187128579, 16.8670567992996, 16.4569699036693, -2.25854501001175, 6.61436790414093, 1.61892713126285</v>
      </c>
      <c r="AH94" t="str">
        <f t="shared" si="18"/>
        <v>-68.5076643918732, -71.5134886999559, 36.3432745489448, -5.66508762631721, -27.621877933403, -0.351886389781397</v>
      </c>
    </row>
    <row r="95" spans="2:34" x14ac:dyDescent="0.25">
      <c r="E95" s="15">
        <v>3</v>
      </c>
      <c r="F95" t="s">
        <v>27</v>
      </c>
      <c r="G95" s="19">
        <f>F18</f>
        <v>3.4473564052222061</v>
      </c>
      <c r="H95" s="19">
        <v>0</v>
      </c>
      <c r="I95" s="19">
        <f>N18</f>
        <v>1.8777424445442235</v>
      </c>
      <c r="J95" s="19">
        <f>R18</f>
        <v>12.937311055278242</v>
      </c>
      <c r="K95" s="19">
        <f>G18</f>
        <v>1.5437192665158472</v>
      </c>
      <c r="L95" s="19">
        <v>0</v>
      </c>
      <c r="M95" s="19">
        <f>O18</f>
        <v>0.70583729072128421</v>
      </c>
      <c r="N95" s="19">
        <f>S18</f>
        <v>6.0669272608131575</v>
      </c>
      <c r="O95" s="19">
        <f>F19</f>
        <v>-6.3227020714984192</v>
      </c>
      <c r="P95" s="19">
        <v>0</v>
      </c>
      <c r="Q95" s="19">
        <f>N19</f>
        <v>-3.8287282951925921</v>
      </c>
      <c r="R95" s="19">
        <f>R19</f>
        <v>-17.196310590601133</v>
      </c>
      <c r="W95" t="str">
        <f t="shared" si="19"/>
        <v>4.97305946705424, 1.11136294558798, -58.1574443699625, 4.35108584818553, 6.67931605317353, 7.97526671528663, 3.44735640522221</v>
      </c>
      <c r="X95" t="str">
        <f t="shared" si="18"/>
        <v>0, 0, 0, 0, 0, 0, 0</v>
      </c>
      <c r="Y95" t="str">
        <f t="shared" si="18"/>
        <v>-13.0719094287349, -17.5692350839984, -30.2078512719996, 3.1012986154799, 4.90758793228425, 3.89619716726816, 1.87774244454422</v>
      </c>
      <c r="Z95" t="str">
        <f t="shared" si="18"/>
        <v>-34.6804726233814, -29.163777436765, -52.6962844799152, 12.8597263651325, 25.6716955924567, 14.1330684943282, 12.9373110552782</v>
      </c>
      <c r="AA95" t="str">
        <f t="shared" si="18"/>
        <v>3.10197086818805, 2.49993267690397, 13.481263421046, 1.93573521050248, 2.17924016867408, 2.29874387978454, 1.54371926651585</v>
      </c>
      <c r="AB95" t="str">
        <f t="shared" si="18"/>
        <v>0, 0, 0, 0, 0, 0, 0</v>
      </c>
      <c r="AC95" t="str">
        <f t="shared" si="18"/>
        <v>2.21300050748042, 3.06277317851063, 5.03360797771384, 0.976513404236151, 1.19144762260979, 0.963057614166005, 0.705837290721284</v>
      </c>
      <c r="AD95" t="str">
        <f t="shared" si="18"/>
        <v>14.9337872983648, 12.7220193459974, 22.4681269010031, 6.10912065974388, 11.3277598220717, 6.40182175946216, 6.06692726081316</v>
      </c>
      <c r="AE95" t="str">
        <f t="shared" si="18"/>
        <v>-34.5394082608679, -38.8361078858509, -42.4743170339092, -7.94050559091825, -8.19477686836936, 5.43525490896704, -6.32270207149842</v>
      </c>
      <c r="AF95" t="str">
        <f t="shared" si="18"/>
        <v>0, 0, 0, 0, 0, 0, 0</v>
      </c>
      <c r="AG95" t="str">
        <f t="shared" si="18"/>
        <v>-13.4297187128579, 16.8670567992996, 16.4569699036693, -2.25854501001175, 6.61436790414093, 1.61892713126285, -3.82872829519259</v>
      </c>
      <c r="AH95" t="str">
        <f t="shared" si="18"/>
        <v>-68.5076643918732, -71.5134886999559, 36.3432745489448, -5.66508762631721, -27.621877933403, -0.351886389781397, -17.1963105906011</v>
      </c>
    </row>
    <row r="96" spans="2:34" x14ac:dyDescent="0.25">
      <c r="E96" s="15">
        <v>3</v>
      </c>
      <c r="F96" t="s">
        <v>29</v>
      </c>
      <c r="G96" s="19">
        <f>F20</f>
        <v>-0.4503118178342464</v>
      </c>
      <c r="H96" s="19">
        <v>0</v>
      </c>
      <c r="I96" s="19">
        <f>N20</f>
        <v>0.29243731806617401</v>
      </c>
      <c r="J96" s="19">
        <f>R20</f>
        <v>4.4938356454003259</v>
      </c>
      <c r="K96" s="19">
        <f>G20</f>
        <v>1.1170317430483121</v>
      </c>
      <c r="L96" s="19">
        <v>0</v>
      </c>
      <c r="M96" s="19">
        <f>O20</f>
        <v>0.74347937407121256</v>
      </c>
      <c r="N96" s="19">
        <f>S20</f>
        <v>2.4848394846195019</v>
      </c>
      <c r="O96" s="19">
        <f>F21</f>
        <v>2.122995496484938</v>
      </c>
      <c r="P96" s="19">
        <v>0</v>
      </c>
      <c r="Q96" s="19">
        <f>N21</f>
        <v>6.2378874752322879</v>
      </c>
      <c r="R96" s="19">
        <f>R21</f>
        <v>13.733566894895661</v>
      </c>
      <c r="W96" t="str">
        <f t="shared" si="19"/>
        <v>4.97305946705424, 1.11136294558798, -58.1574443699625, 4.35108584818553, 6.67931605317353, 7.97526671528663, 3.44735640522221, -0.450311817834246</v>
      </c>
      <c r="X96" t="str">
        <f t="shared" si="18"/>
        <v>0, 0, 0, 0, 0, 0, 0, 0</v>
      </c>
      <c r="Y96" t="str">
        <f t="shared" si="18"/>
        <v>-13.0719094287349, -17.5692350839984, -30.2078512719996, 3.1012986154799, 4.90758793228425, 3.89619716726816, 1.87774244454422, 0.292437318066174</v>
      </c>
      <c r="Z96" t="str">
        <f t="shared" si="18"/>
        <v>-34.6804726233814, -29.163777436765, -52.6962844799152, 12.8597263651325, 25.6716955924567, 14.1330684943282, 12.9373110552782, 4.49383564540033</v>
      </c>
      <c r="AA96" t="str">
        <f t="shared" si="18"/>
        <v>3.10197086818805, 2.49993267690397, 13.481263421046, 1.93573521050248, 2.17924016867408, 2.29874387978454, 1.54371926651585, 1.11703174304831</v>
      </c>
      <c r="AB96" t="str">
        <f t="shared" si="18"/>
        <v>0, 0, 0, 0, 0, 0, 0, 0</v>
      </c>
      <c r="AC96" t="str">
        <f t="shared" si="18"/>
        <v>2.21300050748042, 3.06277317851063, 5.03360797771384, 0.976513404236151, 1.19144762260979, 0.963057614166005, 0.705837290721284, 0.743479374071213</v>
      </c>
      <c r="AD96" t="str">
        <f t="shared" si="18"/>
        <v>14.9337872983648, 12.7220193459974, 22.4681269010031, 6.10912065974388, 11.3277598220717, 6.40182175946216, 6.06692726081316, 2.4848394846195</v>
      </c>
      <c r="AE96" t="str">
        <f t="shared" si="18"/>
        <v>-34.5394082608679, -38.8361078858509, -42.4743170339092, -7.94050559091825, -8.19477686836936, 5.43525490896704, -6.32270207149842, 2.12299549648494</v>
      </c>
      <c r="AF96" t="str">
        <f t="shared" si="18"/>
        <v>0, 0, 0, 0, 0, 0, 0, 0</v>
      </c>
      <c r="AG96" t="str">
        <f t="shared" si="18"/>
        <v>-13.4297187128579, 16.8670567992996, 16.4569699036693, -2.25854501001175, 6.61436790414093, 1.61892713126285, -3.82872829519259, 6.23788747523229</v>
      </c>
      <c r="AH96" t="str">
        <f t="shared" si="18"/>
        <v>-68.5076643918732, -71.5134886999559, 36.3432745489448, -5.66508762631721, -27.621877933403, -0.351886389781397, -17.1963105906011, 13.7335668948957</v>
      </c>
    </row>
    <row r="97" spans="5:34" x14ac:dyDescent="0.25">
      <c r="E97" s="15">
        <v>4</v>
      </c>
      <c r="F97" t="s">
        <v>100</v>
      </c>
      <c r="G97" s="19">
        <f>F22</f>
        <v>-1.370900683272527</v>
      </c>
      <c r="H97" s="19">
        <v>0</v>
      </c>
      <c r="I97" s="19">
        <f>N22</f>
        <v>-2.531050512181606</v>
      </c>
      <c r="J97" s="19">
        <f>R22</f>
        <v>-3.5628569781581581</v>
      </c>
      <c r="K97" s="19">
        <f>G22</f>
        <v>1.4069020662424361</v>
      </c>
      <c r="L97" s="19">
        <v>0</v>
      </c>
      <c r="M97" s="19">
        <f>O22</f>
        <v>0.73611550916668655</v>
      </c>
      <c r="N97" s="19">
        <f>S22</f>
        <v>2.1043909626633219</v>
      </c>
      <c r="O97" s="19">
        <f>F23</f>
        <v>14.461044860260051</v>
      </c>
      <c r="P97" s="19">
        <v>0</v>
      </c>
      <c r="Q97" s="19">
        <f>N23</f>
        <v>-7.1271612267932642</v>
      </c>
      <c r="R97" s="19">
        <f>R23</f>
        <v>5.1631498858362779</v>
      </c>
      <c r="W97" t="str">
        <f t="shared" si="19"/>
        <v>4.97305946705424, 1.11136294558798, -58.1574443699625, 4.35108584818553, 6.67931605317353, 7.97526671528663, 3.44735640522221, -0.450311817834246, -1.37090068327253</v>
      </c>
      <c r="X97" t="str">
        <f t="shared" si="18"/>
        <v>0, 0, 0, 0, 0, 0, 0, 0, 0</v>
      </c>
      <c r="Y97" t="str">
        <f t="shared" si="18"/>
        <v>-13.0719094287349, -17.5692350839984, -30.2078512719996, 3.1012986154799, 4.90758793228425, 3.89619716726816, 1.87774244454422, 0.292437318066174, -2.53105051218161</v>
      </c>
      <c r="Z97" t="str">
        <f t="shared" si="18"/>
        <v>-34.6804726233814, -29.163777436765, -52.6962844799152, 12.8597263651325, 25.6716955924567, 14.1330684943282, 12.9373110552782, 4.49383564540033, -3.56285697815816</v>
      </c>
      <c r="AA97" t="str">
        <f t="shared" si="18"/>
        <v>3.10197086818805, 2.49993267690397, 13.481263421046, 1.93573521050248, 2.17924016867408, 2.29874387978454, 1.54371926651585, 1.11703174304831, 1.40690206624244</v>
      </c>
      <c r="AB97" t="str">
        <f t="shared" si="18"/>
        <v>0, 0, 0, 0, 0, 0, 0, 0, 0</v>
      </c>
      <c r="AC97" t="str">
        <f t="shared" si="18"/>
        <v>2.21300050748042, 3.06277317851063, 5.03360797771384, 0.976513404236151, 1.19144762260979, 0.963057614166005, 0.705837290721284, 0.743479374071213, 0.736115509166687</v>
      </c>
      <c r="AD97" t="str">
        <f t="shared" si="18"/>
        <v>14.9337872983648, 12.7220193459974, 22.4681269010031, 6.10912065974388, 11.3277598220717, 6.40182175946216, 6.06692726081316, 2.4848394846195, 2.10439096266332</v>
      </c>
      <c r="AE97" t="str">
        <f t="shared" si="18"/>
        <v>-34.5394082608679, -38.8361078858509, -42.4743170339092, -7.94050559091825, -8.19477686836936, 5.43525490896704, -6.32270207149842, 2.12299549648494, 14.4610448602601</v>
      </c>
      <c r="AF97" t="str">
        <f t="shared" si="18"/>
        <v>0, 0, 0, 0, 0, 0, 0, 0, 0</v>
      </c>
      <c r="AG97" t="str">
        <f t="shared" si="18"/>
        <v>-13.4297187128579, 16.8670567992996, 16.4569699036693, -2.25854501001175, 6.61436790414093, 1.61892713126285, -3.82872829519259, 6.23788747523229, -7.12716122679326</v>
      </c>
      <c r="AH97" t="str">
        <f t="shared" si="18"/>
        <v>-68.5076643918732, -71.5134886999559, 36.3432745489448, -5.66508762631721, -27.621877933403, -0.351886389781397, -17.1963105906011, 13.7335668948957, 5.16314988583628</v>
      </c>
    </row>
    <row r="98" spans="5:34" x14ac:dyDescent="0.25">
      <c r="E98" s="15">
        <v>4</v>
      </c>
      <c r="F98" t="s">
        <v>101</v>
      </c>
      <c r="G98" s="19">
        <f>F24</f>
        <v>-0.55933321367031941</v>
      </c>
      <c r="H98" s="19">
        <v>0</v>
      </c>
      <c r="I98" s="19">
        <f>N24</f>
        <v>-1.1283766080603865</v>
      </c>
      <c r="J98" s="19">
        <f>R24</f>
        <v>-6.2194256981894656</v>
      </c>
      <c r="K98" s="19">
        <f>G24</f>
        <v>1.1573805692072598</v>
      </c>
      <c r="L98" s="19">
        <v>0</v>
      </c>
      <c r="M98" s="19">
        <f>O24</f>
        <v>0.7389756575343267</v>
      </c>
      <c r="N98" s="19">
        <f>S24</f>
        <v>3.0881243927451179</v>
      </c>
      <c r="O98" s="19">
        <f>F25</f>
        <v>18.281497984691999</v>
      </c>
      <c r="P98" s="19">
        <v>0</v>
      </c>
      <c r="Q98" s="19">
        <f>N25</f>
        <v>-8.1485156298539625</v>
      </c>
      <c r="R98" s="19">
        <f>R25</f>
        <v>-11.817373284450072</v>
      </c>
      <c r="W98" s="10" t="s">
        <v>128</v>
      </c>
      <c r="X98" s="10" t="s">
        <v>129</v>
      </c>
      <c r="Y98" s="10" t="s">
        <v>130</v>
      </c>
      <c r="Z98" s="10" t="s">
        <v>131</v>
      </c>
      <c r="AA98" s="26" t="s">
        <v>132</v>
      </c>
      <c r="AB98" s="26" t="s">
        <v>129</v>
      </c>
      <c r="AC98" s="26" t="s">
        <v>133</v>
      </c>
      <c r="AD98" s="26" t="s">
        <v>134</v>
      </c>
      <c r="AE98" s="27" t="s">
        <v>135</v>
      </c>
      <c r="AF98" s="27" t="s">
        <v>129</v>
      </c>
      <c r="AG98" s="27" t="s">
        <v>136</v>
      </c>
      <c r="AH98" s="27" t="s">
        <v>137</v>
      </c>
    </row>
    <row r="99" spans="5:34" x14ac:dyDescent="0.25">
      <c r="E99" s="15">
        <v>5</v>
      </c>
      <c r="F99" t="s">
        <v>102</v>
      </c>
      <c r="G99" s="19">
        <f>F26</f>
        <v>-63.130503837016704</v>
      </c>
      <c r="H99" s="19">
        <v>0</v>
      </c>
      <c r="I99" s="19">
        <f>N26</f>
        <v>-17.135941843264678</v>
      </c>
      <c r="J99" s="19">
        <f>R26</f>
        <v>-18.015811856533823</v>
      </c>
      <c r="K99" s="19">
        <f>G26</f>
        <v>17.294417712465851</v>
      </c>
      <c r="L99" s="19">
        <v>0</v>
      </c>
      <c r="M99" s="19">
        <f>O26</f>
        <v>4.252204769370544</v>
      </c>
      <c r="N99" s="19">
        <f>S26</f>
        <v>10.957088092042399</v>
      </c>
      <c r="O99" s="19"/>
      <c r="R99" s="19"/>
      <c r="S99" s="19"/>
      <c r="T99" s="19"/>
      <c r="U99" s="19"/>
      <c r="AH99" s="16"/>
    </row>
    <row r="100" spans="5:34" x14ac:dyDescent="0.25">
      <c r="E100" s="15">
        <v>5</v>
      </c>
      <c r="F100" t="s">
        <v>103</v>
      </c>
      <c r="G100" s="19">
        <f>F27</f>
        <v>-59.268807315550454</v>
      </c>
      <c r="H100" s="19">
        <v>0</v>
      </c>
      <c r="I100" s="19">
        <f>N27</f>
        <v>-12.638616188001212</v>
      </c>
      <c r="J100" s="19">
        <f>R27</f>
        <v>-23.532507043150201</v>
      </c>
      <c r="K100" s="19">
        <f>G27</f>
        <v>16.460996671859345</v>
      </c>
      <c r="L100" s="19">
        <v>0</v>
      </c>
      <c r="M100" s="19">
        <f>O27</f>
        <v>3.1084980440055983</v>
      </c>
      <c r="N100" s="19">
        <f>S27</f>
        <v>11.275588144007632</v>
      </c>
      <c r="O100" s="19"/>
      <c r="AH100" s="16"/>
    </row>
    <row r="101" spans="5:34" ht="15.75" thickBot="1" x14ac:dyDescent="0.3">
      <c r="E101" s="20">
        <v>5</v>
      </c>
      <c r="F101" s="22" t="s">
        <v>104</v>
      </c>
      <c r="G101" s="21">
        <f>F28</f>
        <v>3.861696521466258</v>
      </c>
      <c r="H101" s="21">
        <v>0</v>
      </c>
      <c r="I101" s="21">
        <f>N28</f>
        <v>4.4973256552634657</v>
      </c>
      <c r="J101" s="21">
        <f>R28</f>
        <v>-5.5166951866163805</v>
      </c>
      <c r="K101" s="21">
        <f>G28</f>
        <v>4.6061734311666456</v>
      </c>
      <c r="L101" s="21">
        <v>0</v>
      </c>
      <c r="M101" s="21">
        <f>O28</f>
        <v>1.7827189895495259</v>
      </c>
      <c r="N101" s="21">
        <f>S28</f>
        <v>3.0787626236270285</v>
      </c>
      <c r="O101" s="21"/>
      <c r="P101" s="22"/>
      <c r="Q101" s="22"/>
      <c r="R101" s="22"/>
      <c r="S101" s="21"/>
      <c r="T101" s="21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3"/>
    </row>
    <row r="104" spans="5:34" ht="15.75" thickBot="1" x14ac:dyDescent="0.3"/>
    <row r="105" spans="5:34" x14ac:dyDescent="0.25">
      <c r="E105" s="24" t="s">
        <v>106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4"/>
    </row>
    <row r="106" spans="5:34" x14ac:dyDescent="0.25">
      <c r="E106" s="15"/>
      <c r="G106" t="s">
        <v>85</v>
      </c>
      <c r="H106" t="s">
        <v>85</v>
      </c>
      <c r="I106" t="s">
        <v>86</v>
      </c>
      <c r="J106" t="s">
        <v>85</v>
      </c>
      <c r="K106" t="s">
        <v>5</v>
      </c>
      <c r="L106" t="s">
        <v>5</v>
      </c>
      <c r="M106" t="s">
        <v>5</v>
      </c>
      <c r="N106" t="s">
        <v>5</v>
      </c>
      <c r="O106" t="s">
        <v>87</v>
      </c>
      <c r="P106" t="s">
        <v>87</v>
      </c>
      <c r="Q106" t="s">
        <v>87</v>
      </c>
      <c r="R106" t="s">
        <v>87</v>
      </c>
      <c r="AH106" s="16"/>
    </row>
    <row r="107" spans="5:34" x14ac:dyDescent="0.25">
      <c r="E107" s="15" t="s">
        <v>88</v>
      </c>
      <c r="F107" t="s">
        <v>89</v>
      </c>
      <c r="G107" t="s">
        <v>90</v>
      </c>
      <c r="H107" t="s">
        <v>91</v>
      </c>
      <c r="I107" t="s">
        <v>92</v>
      </c>
      <c r="J107" t="s">
        <v>81</v>
      </c>
      <c r="K107" t="s">
        <v>90</v>
      </c>
      <c r="L107" t="s">
        <v>91</v>
      </c>
      <c r="M107" t="s">
        <v>92</v>
      </c>
      <c r="N107" t="s">
        <v>81</v>
      </c>
      <c r="O107" t="s">
        <v>90</v>
      </c>
      <c r="P107" t="s">
        <v>91</v>
      </c>
      <c r="Q107" t="s">
        <v>92</v>
      </c>
      <c r="R107" t="s">
        <v>81</v>
      </c>
      <c r="W107" s="17" t="s">
        <v>93</v>
      </c>
      <c r="AH107" s="16"/>
    </row>
    <row r="108" spans="5:34" x14ac:dyDescent="0.25">
      <c r="E108" s="15">
        <v>1</v>
      </c>
      <c r="F108" s="4" t="s">
        <v>94</v>
      </c>
      <c r="G108" s="19">
        <f>F32</f>
        <v>-7.387816596371918</v>
      </c>
      <c r="H108" s="19">
        <f>J32</f>
        <v>2.7515197086020682</v>
      </c>
      <c r="I108" s="19">
        <f>N32</f>
        <v>-16.650964768917472</v>
      </c>
      <c r="J108" s="19">
        <f>R32</f>
        <v>-13.921038252564609</v>
      </c>
      <c r="K108" s="19">
        <f>G32</f>
        <v>3.1907886477712939</v>
      </c>
      <c r="L108" s="19">
        <f>K32</f>
        <v>91.683987410948177</v>
      </c>
      <c r="M108" s="19">
        <f>O32</f>
        <v>4.1368890100548761</v>
      </c>
      <c r="N108" s="19">
        <f>S32</f>
        <v>4.5333090960866205</v>
      </c>
      <c r="O108" s="19">
        <f>F33</f>
        <v>40.92393946289554</v>
      </c>
      <c r="P108" s="19">
        <f>J33</f>
        <v>-198.18898937373336</v>
      </c>
      <c r="Q108" s="19">
        <f>N33</f>
        <v>-15.949734427127956</v>
      </c>
      <c r="R108" s="19">
        <f>R33</f>
        <v>50.428444665620503</v>
      </c>
      <c r="V108" s="19"/>
      <c r="W108" s="19">
        <f>G108</f>
        <v>-7.387816596371918</v>
      </c>
      <c r="X108" s="19">
        <f>H108</f>
        <v>2.7515197086020682</v>
      </c>
      <c r="Y108" s="19">
        <f>I108</f>
        <v>-16.650964768917472</v>
      </c>
      <c r="Z108" s="19">
        <f>J108</f>
        <v>-13.921038252564609</v>
      </c>
      <c r="AA108" s="19">
        <f t="shared" ref="AA108" si="20">K108</f>
        <v>3.1907886477712939</v>
      </c>
      <c r="AB108" s="19">
        <f>L108</f>
        <v>91.683987410948177</v>
      </c>
      <c r="AC108" s="19">
        <f t="shared" ref="AC108" si="21">M108</f>
        <v>4.1368890100548761</v>
      </c>
      <c r="AD108" s="19">
        <f t="shared" ref="AD108" si="22">N108</f>
        <v>4.5333090960866205</v>
      </c>
      <c r="AE108" s="19">
        <f t="shared" ref="AE108" si="23">O108</f>
        <v>40.92393946289554</v>
      </c>
      <c r="AF108" s="19">
        <f t="shared" ref="AF108" si="24">P108</f>
        <v>-198.18898937373336</v>
      </c>
      <c r="AG108" s="19">
        <f t="shared" ref="AG108" si="25">Q108</f>
        <v>-15.949734427127956</v>
      </c>
      <c r="AH108" s="25">
        <f t="shared" ref="AH108" si="26">R108</f>
        <v>50.428444665620503</v>
      </c>
    </row>
    <row r="109" spans="5:34" x14ac:dyDescent="0.25">
      <c r="E109" s="15">
        <v>1</v>
      </c>
      <c r="F109" s="4" t="s">
        <v>95</v>
      </c>
      <c r="G109" s="19">
        <f>F34</f>
        <v>1.1873046237229166</v>
      </c>
      <c r="H109" s="19">
        <f>J34</f>
        <v>-166.85786246309161</v>
      </c>
      <c r="I109" s="19">
        <f>N34</f>
        <v>-23.609409454893104</v>
      </c>
      <c r="J109" s="19">
        <f>R34</f>
        <v>-19.647574941821176</v>
      </c>
      <c r="K109" s="19">
        <f>G34</f>
        <v>3.2452009394077881</v>
      </c>
      <c r="L109" s="19">
        <f>K34</f>
        <v>3689.9707443987422</v>
      </c>
      <c r="M109" s="19">
        <f>O34</f>
        <v>6.2047406081420844</v>
      </c>
      <c r="N109" s="19">
        <f>S34</f>
        <v>7.08905599306987</v>
      </c>
      <c r="O109" s="19">
        <f>F35</f>
        <v>-59.126497707187802</v>
      </c>
      <c r="P109" s="19">
        <f>J35</f>
        <v>272.75341590994623</v>
      </c>
      <c r="Q109" s="19">
        <f>N35</f>
        <v>-25.613846383392019</v>
      </c>
      <c r="R109" s="19">
        <f>R35</f>
        <v>47.734497582278237</v>
      </c>
      <c r="W109" t="str">
        <f t="shared" ref="W109:W116" si="27">_xlfn.CONCAT(W108,", ",G109)</f>
        <v>-7.38781659637192, 1.18730462372292</v>
      </c>
      <c r="X109" t="str">
        <f t="shared" ref="X109:X116" si="28">_xlfn.CONCAT(X108,", ",H109)</f>
        <v>2.75151970860207, -166.857862463092</v>
      </c>
      <c r="Y109" t="str">
        <f t="shared" ref="Y109:Y116" si="29">_xlfn.CONCAT(Y108,", ",I109)</f>
        <v>-16.6509647689175, -23.6094094548931</v>
      </c>
      <c r="Z109" t="str">
        <f t="shared" ref="Z109:Z116" si="30">_xlfn.CONCAT(Z108,", ",J109)</f>
        <v>-13.9210382525646, -19.6475749418212</v>
      </c>
      <c r="AA109" t="str">
        <f t="shared" ref="AA109:AA115" si="31">_xlfn.CONCAT(AA108,", ",K109)</f>
        <v>3.19078864777129, 3.24520093940779</v>
      </c>
      <c r="AB109" t="str">
        <f t="shared" ref="AB109:AB116" si="32">_xlfn.CONCAT(AB108,", ",L109)</f>
        <v>91.6839874109482, 3689.97074439874</v>
      </c>
      <c r="AC109" t="str">
        <f t="shared" ref="AC109:AC116" si="33">_xlfn.CONCAT(AC108,", ",M109)</f>
        <v>4.13688901005488, 6.20474060814208</v>
      </c>
      <c r="AD109" t="str">
        <f t="shared" ref="AD109:AD116" si="34">_xlfn.CONCAT(AD108,", ",N109)</f>
        <v>4.53330909608662, 7.08905599306987</v>
      </c>
      <c r="AE109" t="str">
        <f t="shared" ref="AE109:AE116" si="35">_xlfn.CONCAT(AE108,", ",O109)</f>
        <v>40.9239394628955, -59.1264977071878</v>
      </c>
      <c r="AF109" t="str">
        <f t="shared" ref="AF109:AF116" si="36">_xlfn.CONCAT(AF108,", ",P109)</f>
        <v>-198.188989373733, 272.753415909946</v>
      </c>
      <c r="AG109" t="str">
        <f t="shared" ref="AG109:AG116" si="37">_xlfn.CONCAT(AG108,", ",Q109)</f>
        <v>-15.949734427128, -25.613846383392</v>
      </c>
      <c r="AH109" s="16" t="str">
        <f t="shared" ref="AH109:AH116" si="38">_xlfn.CONCAT(AH108,", ",R109)</f>
        <v>50.4284446656205, 47.7344975822782</v>
      </c>
    </row>
    <row r="110" spans="5:34" x14ac:dyDescent="0.25">
      <c r="E110" s="15">
        <v>1</v>
      </c>
      <c r="F110" s="4" t="s">
        <v>96</v>
      </c>
      <c r="G110" s="19">
        <f>F36</f>
        <v>-91.13619763237638</v>
      </c>
      <c r="H110" s="19">
        <f>J36</f>
        <v>10.774355460310074</v>
      </c>
      <c r="I110" s="19">
        <f>N36</f>
        <v>-43.138938843329022</v>
      </c>
      <c r="J110" s="19">
        <f>R36</f>
        <v>-22.636313546669879</v>
      </c>
      <c r="K110" s="19">
        <f>G36</f>
        <v>28.900978095735979</v>
      </c>
      <c r="L110" s="19">
        <f>K36</f>
        <v>360.69113638621184</v>
      </c>
      <c r="M110" s="19">
        <f>O36</f>
        <v>11.053756792650267</v>
      </c>
      <c r="N110" s="19">
        <f>S36</f>
        <v>9.3521251626051765</v>
      </c>
      <c r="O110" s="19">
        <f>F37</f>
        <v>-69.137167313298022</v>
      </c>
      <c r="P110" s="19">
        <f>J37</f>
        <v>232.73986495146102</v>
      </c>
      <c r="Q110" s="19">
        <f>N37</f>
        <v>24.034728030718078</v>
      </c>
      <c r="R110" s="19">
        <f>R37</f>
        <v>-51.190845571047994</v>
      </c>
      <c r="S110" s="19"/>
      <c r="W110" t="str">
        <f t="shared" si="27"/>
        <v>-7.38781659637192, 1.18730462372292, -91.1361976323764</v>
      </c>
      <c r="X110" t="str">
        <f t="shared" si="28"/>
        <v>2.75151970860207, -166.857862463092, 10.7743554603101</v>
      </c>
      <c r="Y110" t="str">
        <f t="shared" si="29"/>
        <v>-16.6509647689175, -23.6094094548931, -43.138938843329</v>
      </c>
      <c r="Z110" t="str">
        <f t="shared" si="30"/>
        <v>-13.9210382525646, -19.6475749418212, -22.6363135466699</v>
      </c>
      <c r="AA110" t="str">
        <f t="shared" si="31"/>
        <v>3.19078864777129, 3.24520093940779, 28.900978095736</v>
      </c>
      <c r="AB110" t="str">
        <f t="shared" si="32"/>
        <v>91.6839874109482, 3689.97074439874, 360.691136386212</v>
      </c>
      <c r="AC110" t="str">
        <f t="shared" si="33"/>
        <v>4.13688901005488, 6.20474060814208, 11.0537567926503</v>
      </c>
      <c r="AD110" t="str">
        <f t="shared" si="34"/>
        <v>4.53330909608662, 7.08905599306987, 9.35212516260518</v>
      </c>
      <c r="AE110" t="str">
        <f t="shared" si="35"/>
        <v>40.9239394628955, -59.1264977071878, -69.137167313298</v>
      </c>
      <c r="AF110" t="str">
        <f t="shared" si="36"/>
        <v>-198.188989373733, 272.753415909946, 232.739864951461</v>
      </c>
      <c r="AG110" t="str">
        <f t="shared" si="37"/>
        <v>-15.949734427128, -25.613846383392, 24.0347280307181</v>
      </c>
      <c r="AH110" s="16" t="str">
        <f t="shared" si="38"/>
        <v>50.4284446656205, 47.7344975822782, -51.190845571048</v>
      </c>
    </row>
    <row r="111" spans="5:34" x14ac:dyDescent="0.25">
      <c r="E111" s="15">
        <v>2</v>
      </c>
      <c r="F111" t="s">
        <v>97</v>
      </c>
      <c r="G111" s="19">
        <f>F40</f>
        <v>12.283774899089918</v>
      </c>
      <c r="H111" s="19">
        <f>J40</f>
        <v>-1.2285122786282876</v>
      </c>
      <c r="I111" s="19">
        <f>N40</f>
        <v>2.6110655645015504</v>
      </c>
      <c r="J111" s="19">
        <f>R40</f>
        <v>12.175709169301761</v>
      </c>
      <c r="K111" s="19">
        <f>G40</f>
        <v>4.5530165252016062</v>
      </c>
      <c r="L111" s="19">
        <f>K40</f>
        <v>96.446518541933784</v>
      </c>
      <c r="M111" s="19">
        <f>O40</f>
        <v>1.4008644028997754</v>
      </c>
      <c r="N111" s="19">
        <f>S40</f>
        <v>4.7371940554227994</v>
      </c>
      <c r="O111" s="19">
        <f>F41</f>
        <v>-0.10266893607244997</v>
      </c>
      <c r="P111" s="19">
        <f>J41</f>
        <v>15.880853491636939</v>
      </c>
      <c r="Q111" s="19">
        <f>N41</f>
        <v>1.9751560222693008</v>
      </c>
      <c r="R111" s="19">
        <f>R41</f>
        <v>-3.1071862303962621</v>
      </c>
      <c r="W111" t="str">
        <f t="shared" si="27"/>
        <v>-7.38781659637192, 1.18730462372292, -91.1361976323764, 12.2837748990899</v>
      </c>
      <c r="X111" t="str">
        <f t="shared" si="28"/>
        <v>2.75151970860207, -166.857862463092, 10.7743554603101, -1.22851227862829</v>
      </c>
      <c r="Y111" t="str">
        <f t="shared" si="29"/>
        <v>-16.6509647689175, -23.6094094548931, -43.138938843329, 2.61106556450155</v>
      </c>
      <c r="Z111" t="str">
        <f t="shared" si="30"/>
        <v>-13.9210382525646, -19.6475749418212, -22.6363135466699, 12.1757091693018</v>
      </c>
      <c r="AA111" t="str">
        <f t="shared" si="31"/>
        <v>3.19078864777129, 3.24520093940779, 28.900978095736, 4.55301652520161</v>
      </c>
      <c r="AB111" t="str">
        <f t="shared" si="32"/>
        <v>91.6839874109482, 3689.97074439874, 360.691136386212, 96.4465185419338</v>
      </c>
      <c r="AC111" t="str">
        <f t="shared" si="33"/>
        <v>4.13688901005488, 6.20474060814208, 11.0537567926503, 1.40086440289978</v>
      </c>
      <c r="AD111" t="str">
        <f t="shared" si="34"/>
        <v>4.53330909608662, 7.08905599306987, 9.35212516260518, 4.7371940554228</v>
      </c>
      <c r="AE111" t="str">
        <f t="shared" si="35"/>
        <v>40.9239394628955, -59.1264977071878, -69.137167313298, -0.10266893607245</v>
      </c>
      <c r="AF111" t="str">
        <f t="shared" si="36"/>
        <v>-198.188989373733, 272.753415909946, 232.739864951461, 15.8808534916369</v>
      </c>
      <c r="AG111" t="str">
        <f t="shared" si="37"/>
        <v>-15.949734427128, -25.613846383392, 24.0347280307181, 1.9751560222693</v>
      </c>
      <c r="AH111" s="16" t="str">
        <f t="shared" si="38"/>
        <v>50.4284446656205, 47.7344975822782, -51.190845571048, -3.10718623039626</v>
      </c>
    </row>
    <row r="112" spans="5:34" x14ac:dyDescent="0.25">
      <c r="E112" s="15">
        <v>2</v>
      </c>
      <c r="F112" t="s">
        <v>98</v>
      </c>
      <c r="G112" s="19">
        <f>F42</f>
        <v>16.01218505923913</v>
      </c>
      <c r="H112" s="19">
        <f>J42</f>
        <v>91.776427457376698</v>
      </c>
      <c r="I112" s="19">
        <f>N42</f>
        <v>10.275437813846175</v>
      </c>
      <c r="J112" s="19">
        <f>R42</f>
        <v>22.179733382481142</v>
      </c>
      <c r="K112" s="19">
        <f>G42</f>
        <v>5.6482438897423801</v>
      </c>
      <c r="L112" s="19">
        <f>K42</f>
        <v>2065.0850085932238</v>
      </c>
      <c r="M112" s="19">
        <f>O42</f>
        <v>2.9165918575547263</v>
      </c>
      <c r="N112" s="19">
        <f>S42</f>
        <v>8.0157326975285752</v>
      </c>
      <c r="O112" s="19">
        <f>F43</f>
        <v>-15.140629118441105</v>
      </c>
      <c r="P112" s="19">
        <f>J43</f>
        <v>-9.020086698349246</v>
      </c>
      <c r="Q112" s="19">
        <f>N43</f>
        <v>-5.6635090724599335</v>
      </c>
      <c r="R112" s="19">
        <f>R43</f>
        <v>-17.447893263022287</v>
      </c>
      <c r="W112" t="str">
        <f t="shared" si="27"/>
        <v>-7.38781659637192, 1.18730462372292, -91.1361976323764, 12.2837748990899, 16.0121850592391</v>
      </c>
      <c r="X112" t="str">
        <f t="shared" si="28"/>
        <v>2.75151970860207, -166.857862463092, 10.7743554603101, -1.22851227862829, 91.7764274573767</v>
      </c>
      <c r="Y112" t="str">
        <f t="shared" si="29"/>
        <v>-16.6509647689175, -23.6094094548931, -43.138938843329, 2.61106556450155, 10.2754378138462</v>
      </c>
      <c r="Z112" t="str">
        <f t="shared" si="30"/>
        <v>-13.9210382525646, -19.6475749418212, -22.6363135466699, 12.1757091693018, 22.1797333824811</v>
      </c>
      <c r="AA112" t="str">
        <f t="shared" si="31"/>
        <v>3.19078864777129, 3.24520093940779, 28.900978095736, 4.55301652520161, 5.64824388974238</v>
      </c>
      <c r="AB112" t="str">
        <f t="shared" si="32"/>
        <v>91.6839874109482, 3689.97074439874, 360.691136386212, 96.4465185419338, 2065.08500859322</v>
      </c>
      <c r="AC112" t="str">
        <f t="shared" si="33"/>
        <v>4.13688901005488, 6.20474060814208, 11.0537567926503, 1.40086440289978, 2.91659185755473</v>
      </c>
      <c r="AD112" t="str">
        <f t="shared" si="34"/>
        <v>4.53330909608662, 7.08905599306987, 9.35212516260518, 4.7371940554228, 8.01573269752858</v>
      </c>
      <c r="AE112" t="str">
        <f t="shared" si="35"/>
        <v>40.9239394628955, -59.1264977071878, -69.137167313298, -0.10266893607245, -15.1406291184411</v>
      </c>
      <c r="AF112" t="str">
        <f t="shared" si="36"/>
        <v>-198.188989373733, 272.753415909946, 232.739864951461, 15.8808534916369, -9.02008669834925</v>
      </c>
      <c r="AG112" t="str">
        <f t="shared" si="37"/>
        <v>-15.949734427128, -25.613846383392, 24.0347280307181, 1.9751560222693, -5.66350907245993</v>
      </c>
      <c r="AH112" s="16" t="str">
        <f t="shared" si="38"/>
        <v>50.4284446656205, 47.7344975822782, -51.190845571048, -3.10718623039626, -17.4478932630223</v>
      </c>
    </row>
    <row r="113" spans="5:34" x14ac:dyDescent="0.25">
      <c r="E113" s="15">
        <v>2</v>
      </c>
      <c r="F113" t="s">
        <v>99</v>
      </c>
      <c r="G113" s="19">
        <f>F44</f>
        <v>15.195086918727739</v>
      </c>
      <c r="H113" s="19">
        <f>J44</f>
        <v>77.960464201398338</v>
      </c>
      <c r="I113" s="19">
        <f>N44</f>
        <v>4.5130905120873503</v>
      </c>
      <c r="J113" s="19">
        <f>R44</f>
        <v>14.435520495076972</v>
      </c>
      <c r="K113" s="19">
        <f>G44</f>
        <v>5.4155200727880199</v>
      </c>
      <c r="L113" s="19">
        <f>K44</f>
        <v>1757.2667128905616</v>
      </c>
      <c r="M113" s="19">
        <f>O44</f>
        <v>1.8685929821616347</v>
      </c>
      <c r="N113" s="19">
        <f>S44</f>
        <v>5.3173448968944541</v>
      </c>
      <c r="O113" s="19">
        <f>F45</f>
        <v>8.8807193159225726</v>
      </c>
      <c r="P113" s="19">
        <f>J45</f>
        <v>-75.435261252003045</v>
      </c>
      <c r="Q113" s="19">
        <f>N45</f>
        <v>-7.9528147958652458</v>
      </c>
      <c r="R113" s="19">
        <f>R45</f>
        <v>-5.3414923198539777</v>
      </c>
      <c r="W113" t="str">
        <f t="shared" si="27"/>
        <v>-7.38781659637192, 1.18730462372292, -91.1361976323764, 12.2837748990899, 16.0121850592391, 15.1950869187277</v>
      </c>
      <c r="X113" t="str">
        <f t="shared" si="28"/>
        <v>2.75151970860207, -166.857862463092, 10.7743554603101, -1.22851227862829, 91.7764274573767, 77.9604642013983</v>
      </c>
      <c r="Y113" t="str">
        <f t="shared" si="29"/>
        <v>-16.6509647689175, -23.6094094548931, -43.138938843329, 2.61106556450155, 10.2754378138462, 4.51309051208735</v>
      </c>
      <c r="Z113" t="str">
        <f t="shared" si="30"/>
        <v>-13.9210382525646, -19.6475749418212, -22.6363135466699, 12.1757091693018, 22.1797333824811, 14.435520495077</v>
      </c>
      <c r="AA113" t="str">
        <f t="shared" si="31"/>
        <v>3.19078864777129, 3.24520093940779, 28.900978095736, 4.55301652520161, 5.64824388974238, 5.41552007278802</v>
      </c>
      <c r="AB113" t="str">
        <f t="shared" si="32"/>
        <v>91.6839874109482, 3689.97074439874, 360.691136386212, 96.4465185419338, 2065.08500859322, 1757.26671289056</v>
      </c>
      <c r="AC113" t="str">
        <f t="shared" si="33"/>
        <v>4.13688901005488, 6.20474060814208, 11.0537567926503, 1.40086440289978, 2.91659185755473, 1.86859298216163</v>
      </c>
      <c r="AD113" t="str">
        <f t="shared" si="34"/>
        <v>4.53330909608662, 7.08905599306987, 9.35212516260518, 4.7371940554228, 8.01573269752858, 5.31734489689445</v>
      </c>
      <c r="AE113" t="str">
        <f t="shared" si="35"/>
        <v>40.9239394628955, -59.1264977071878, -69.137167313298, -0.10266893607245, -15.1406291184411, 8.88071931592257</v>
      </c>
      <c r="AF113" t="str">
        <f t="shared" si="36"/>
        <v>-198.188989373733, 272.753415909946, 232.739864951461, 15.8808534916369, -9.02008669834925, -75.435261252003</v>
      </c>
      <c r="AG113" t="str">
        <f t="shared" si="37"/>
        <v>-15.949734427128, -25.613846383392, 24.0347280307181, 1.9751560222693, -5.66350907245993, -7.95281479586525</v>
      </c>
      <c r="AH113" s="16" t="str">
        <f t="shared" si="38"/>
        <v>50.4284446656205, 47.7344975822782, -51.190845571048, -3.10718623039626, -17.4478932630223, -5.34149231985398</v>
      </c>
    </row>
    <row r="114" spans="5:34" x14ac:dyDescent="0.25">
      <c r="E114" s="15">
        <v>3</v>
      </c>
      <c r="F114" t="s">
        <v>27</v>
      </c>
      <c r="G114" s="19">
        <f>F46</f>
        <v>7.3789069135476479</v>
      </c>
      <c r="H114" s="19">
        <f>J46</f>
        <v>83.576539969129144</v>
      </c>
      <c r="I114" s="19">
        <f>N46</f>
        <v>3.0222113580732279</v>
      </c>
      <c r="J114" s="19">
        <f>R46</f>
        <v>10.699814796619362</v>
      </c>
      <c r="K114" s="19">
        <f>G46</f>
        <v>2.6565174338235242</v>
      </c>
      <c r="L114" s="19">
        <f>K46</f>
        <v>1895.5920417364041</v>
      </c>
      <c r="M114" s="19">
        <f>O46</f>
        <v>1.2978091787441903</v>
      </c>
      <c r="N114" s="19">
        <f>S46</f>
        <v>3.965944851801968</v>
      </c>
      <c r="O114" s="19">
        <f>F47</f>
        <v>3.5035615692167621</v>
      </c>
      <c r="P114" s="19">
        <f>J47</f>
        <v>-63.714926622281794</v>
      </c>
      <c r="Q114" s="19">
        <f>N47</f>
        <v>9.4373418825800197</v>
      </c>
      <c r="R114" s="19">
        <f>R47</f>
        <v>-13.065748396189601</v>
      </c>
      <c r="W114" t="str">
        <f t="shared" si="27"/>
        <v>-7.38781659637192, 1.18730462372292, -91.1361976323764, 12.2837748990899, 16.0121850592391, 15.1950869187277, 7.37890691354765</v>
      </c>
      <c r="X114" t="str">
        <f t="shared" si="28"/>
        <v>2.75151970860207, -166.857862463092, 10.7743554603101, -1.22851227862829, 91.7764274573767, 77.9604642013983, 83.5765399691291</v>
      </c>
      <c r="Y114" t="str">
        <f t="shared" si="29"/>
        <v>-16.6509647689175, -23.6094094548931, -43.138938843329, 2.61106556450155, 10.2754378138462, 4.51309051208735, 3.02221135807323</v>
      </c>
      <c r="Z114" t="str">
        <f t="shared" si="30"/>
        <v>-13.9210382525646, -19.6475749418212, -22.6363135466699, 12.1757091693018, 22.1797333824811, 14.435520495077, 10.6998147966194</v>
      </c>
      <c r="AA114" t="str">
        <f t="shared" si="31"/>
        <v>3.19078864777129, 3.24520093940779, 28.900978095736, 4.55301652520161, 5.64824388974238, 5.41552007278802, 2.65651743382352</v>
      </c>
      <c r="AB114" t="str">
        <f t="shared" si="32"/>
        <v>91.6839874109482, 3689.97074439874, 360.691136386212, 96.4465185419338, 2065.08500859322, 1757.26671289056, 1895.5920417364</v>
      </c>
      <c r="AC114" t="str">
        <f t="shared" si="33"/>
        <v>4.13688901005488, 6.20474060814208, 11.0537567926503, 1.40086440289978, 2.91659185755473, 1.86859298216163, 1.29780917874419</v>
      </c>
      <c r="AD114" t="str">
        <f t="shared" si="34"/>
        <v>4.53330909608662, 7.08905599306987, 9.35212516260518, 4.7371940554228, 8.01573269752858, 5.31734489689445, 3.96594485180197</v>
      </c>
      <c r="AE114" t="str">
        <f t="shared" si="35"/>
        <v>40.9239394628955, -59.1264977071878, -69.137167313298, -0.10266893607245, -15.1406291184411, 8.88071931592257, 3.50356156921676</v>
      </c>
      <c r="AF114" t="str">
        <f t="shared" si="36"/>
        <v>-198.188989373733, 272.753415909946, 232.739864951461, 15.8808534916369, -9.02008669834925, -75.435261252003, -63.7149266222818</v>
      </c>
      <c r="AG114" t="str">
        <f t="shared" si="37"/>
        <v>-15.949734427128, -25.613846383392, 24.0347280307181, 1.9751560222693, -5.66350907245993, -7.95281479586525, 9.43734188258002</v>
      </c>
      <c r="AH114" s="16" t="str">
        <f t="shared" si="38"/>
        <v>50.4284446656205, 47.7344975822782, -51.190845571048, -3.10718623039626, -17.4478932630223, -5.34149231985398, -13.0657483961896</v>
      </c>
    </row>
    <row r="115" spans="5:34" x14ac:dyDescent="0.25">
      <c r="E115" s="15">
        <v>3</v>
      </c>
      <c r="F115" t="s">
        <v>29</v>
      </c>
      <c r="G115" s="19">
        <f>F48</f>
        <v>6.2748662189411197</v>
      </c>
      <c r="H115" s="19">
        <f>J48</f>
        <v>50.040031470773279</v>
      </c>
      <c r="I115" s="19">
        <f>N48</f>
        <v>1.3284105329340512</v>
      </c>
      <c r="J115" s="19">
        <f>R48</f>
        <v>0.4607452830341896</v>
      </c>
      <c r="K115" s="19">
        <f>G48</f>
        <v>2.5161108562035621</v>
      </c>
      <c r="L115" s="19">
        <f>K48</f>
        <v>1100.8239177388145</v>
      </c>
      <c r="M115" s="19">
        <f>O48</f>
        <v>1.034631735954918</v>
      </c>
      <c r="N115" s="19">
        <f>S48</f>
        <v>0.86179382480013556</v>
      </c>
      <c r="O115" s="19">
        <f>F49</f>
        <v>5.7758903224478972</v>
      </c>
      <c r="P115" s="19">
        <f>J49</f>
        <v>77.338720672765533</v>
      </c>
      <c r="Q115" s="19">
        <f>N49</f>
        <v>-4.3284648349379165</v>
      </c>
      <c r="R115" s="19">
        <f>R49</f>
        <v>-4.6084361023231679</v>
      </c>
      <c r="W115" t="str">
        <f t="shared" si="27"/>
        <v>-7.38781659637192, 1.18730462372292, -91.1361976323764, 12.2837748990899, 16.0121850592391, 15.1950869187277, 7.37890691354765, 6.27486621894112</v>
      </c>
      <c r="X115" t="str">
        <f t="shared" si="28"/>
        <v>2.75151970860207, -166.857862463092, 10.7743554603101, -1.22851227862829, 91.7764274573767, 77.9604642013983, 83.5765399691291, 50.0400314707733</v>
      </c>
      <c r="Y115" t="str">
        <f t="shared" si="29"/>
        <v>-16.6509647689175, -23.6094094548931, -43.138938843329, 2.61106556450155, 10.2754378138462, 4.51309051208735, 3.02221135807323, 1.32841053293405</v>
      </c>
      <c r="Z115" t="str">
        <f t="shared" si="30"/>
        <v>-13.9210382525646, -19.6475749418212, -22.6363135466699, 12.1757091693018, 22.1797333824811, 14.435520495077, 10.6998147966194, 0.46074528303419</v>
      </c>
      <c r="AA115" t="str">
        <f t="shared" si="31"/>
        <v>3.19078864777129, 3.24520093940779, 28.900978095736, 4.55301652520161, 5.64824388974238, 5.41552007278802, 2.65651743382352, 2.51611085620356</v>
      </c>
      <c r="AB115" t="str">
        <f t="shared" si="32"/>
        <v>91.6839874109482, 3689.97074439874, 360.691136386212, 96.4465185419338, 2065.08500859322, 1757.26671289056, 1895.5920417364, 1100.82391773881</v>
      </c>
      <c r="AC115" t="str">
        <f t="shared" si="33"/>
        <v>4.13688901005488, 6.20474060814208, 11.0537567926503, 1.40086440289978, 2.91659185755473, 1.86859298216163, 1.29780917874419, 1.03463173595492</v>
      </c>
      <c r="AD115" t="str">
        <f t="shared" si="34"/>
        <v>4.53330909608662, 7.08905599306987, 9.35212516260518, 4.7371940554228, 8.01573269752858, 5.31734489689445, 3.96594485180197, 0.861793824800136</v>
      </c>
      <c r="AE115" t="str">
        <f t="shared" si="35"/>
        <v>40.9239394628955, -59.1264977071878, -69.137167313298, -0.10266893607245, -15.1406291184411, 8.88071931592257, 3.50356156921676, 5.7758903224479</v>
      </c>
      <c r="AF115" t="str">
        <f t="shared" si="36"/>
        <v>-198.188989373733, 272.753415909946, 232.739864951461, 15.8808534916369, -9.02008669834925, -75.435261252003, -63.7149266222818, 77.3387206727655</v>
      </c>
      <c r="AG115" t="str">
        <f t="shared" si="37"/>
        <v>-15.949734427128, -25.613846383392, 24.0347280307181, 1.9751560222693, -5.66350907245993, -7.95281479586525, 9.43734188258002, -4.32846483493792</v>
      </c>
      <c r="AH115" s="16" t="str">
        <f t="shared" si="38"/>
        <v>50.4284446656205, 47.7344975822782, -51.190845571048, -3.10718623039626, -17.4478932630223, -5.34149231985398, -13.0657483961896, -4.60843610232317</v>
      </c>
    </row>
    <row r="116" spans="5:34" x14ac:dyDescent="0.25">
      <c r="E116" s="15">
        <v>4</v>
      </c>
      <c r="F116" t="s">
        <v>100</v>
      </c>
      <c r="G116" s="19">
        <f>F50</f>
        <v>-6.3286109381340641</v>
      </c>
      <c r="H116" s="19">
        <f>J50</f>
        <v>-41.4910302686893</v>
      </c>
      <c r="I116" s="19">
        <f>N50</f>
        <v>-3.0295698478169659</v>
      </c>
      <c r="J116" s="19">
        <f>R50</f>
        <v>-2.1075147768757061</v>
      </c>
      <c r="K116" s="19">
        <f>G50</f>
        <v>2.4278851947329922</v>
      </c>
      <c r="L116" s="19">
        <f>K50</f>
        <v>901.9706530078746</v>
      </c>
      <c r="M116" s="19">
        <f>O50</f>
        <v>1.2624392383017806</v>
      </c>
      <c r="N116" s="19">
        <f>S50</f>
        <v>1.4009764548792802</v>
      </c>
      <c r="O116" s="19">
        <f>F51</f>
        <v>-12.099188000384341</v>
      </c>
      <c r="P116" s="19">
        <f>J51</f>
        <v>48.570278032548721</v>
      </c>
      <c r="Q116" s="19">
        <f>N51</f>
        <v>-5.0219945857012416</v>
      </c>
      <c r="R116" s="19">
        <f>R51</f>
        <v>2.7320461733491879</v>
      </c>
      <c r="W116" t="str">
        <f t="shared" si="27"/>
        <v>-7.38781659637192, 1.18730462372292, -91.1361976323764, 12.2837748990899, 16.0121850592391, 15.1950869187277, 7.37890691354765, 6.27486621894112, -6.32861093813406</v>
      </c>
      <c r="X116" t="str">
        <f t="shared" si="28"/>
        <v>2.75151970860207, -166.857862463092, 10.7743554603101, -1.22851227862829, 91.7764274573767, 77.9604642013983, 83.5765399691291, 50.0400314707733, -41.4910302686893</v>
      </c>
      <c r="Y116" t="str">
        <f t="shared" si="29"/>
        <v>-16.6509647689175, -23.6094094548931, -43.138938843329, 2.61106556450155, 10.2754378138462, 4.51309051208735, 3.02221135807323, 1.32841053293405, -3.02956984781697</v>
      </c>
      <c r="Z116" t="str">
        <f t="shared" si="30"/>
        <v>-13.9210382525646, -19.6475749418212, -22.6363135466699, 12.1757091693018, 22.1797333824811, 14.435520495077, 10.6998147966194, 0.46074528303419, -2.10751477687571</v>
      </c>
      <c r="AA116" t="str">
        <f>_xlfn.CONCAT(AA115,", ",K116)</f>
        <v>3.19078864777129, 3.24520093940779, 28.900978095736, 4.55301652520161, 5.64824388974238, 5.41552007278802, 2.65651743382352, 2.51611085620356, 2.42788519473299</v>
      </c>
      <c r="AB116" t="str">
        <f t="shared" si="32"/>
        <v>91.6839874109482, 3689.97074439874, 360.691136386212, 96.4465185419338, 2065.08500859322, 1757.26671289056, 1895.5920417364, 1100.82391773881, 901.970653007875</v>
      </c>
      <c r="AC116" t="str">
        <f t="shared" si="33"/>
        <v>4.13688901005488, 6.20474060814208, 11.0537567926503, 1.40086440289978, 2.91659185755473, 1.86859298216163, 1.29780917874419, 1.03463173595492, 1.26243923830178</v>
      </c>
      <c r="AD116" t="str">
        <f t="shared" si="34"/>
        <v>4.53330909608662, 7.08905599306987, 9.35212516260518, 4.7371940554228, 8.01573269752858, 5.31734489689445, 3.96594485180197, 0.861793824800136, 1.40097645487928</v>
      </c>
      <c r="AE116" t="str">
        <f t="shared" si="35"/>
        <v>40.9239394628955, -59.1264977071878, -69.137167313298, -0.10266893607245, -15.1406291184411, 8.88071931592257, 3.50356156921676, 5.7758903224479, -12.0991880003843</v>
      </c>
      <c r="AF116" t="str">
        <f t="shared" si="36"/>
        <v>-198.188989373733, 272.753415909946, 232.739864951461, 15.8808534916369, -9.02008669834925, -75.435261252003, -63.7149266222818, 77.3387206727655, 48.5702780325487</v>
      </c>
      <c r="AG116" t="str">
        <f t="shared" si="37"/>
        <v>-15.949734427128, -25.613846383392, 24.0347280307181, 1.9751560222693, -5.66350907245993, -7.95281479586525, 9.43734188258002, -4.32846483493792, -5.02199458570124</v>
      </c>
      <c r="AH116" s="16" t="str">
        <f t="shared" si="38"/>
        <v>50.4284446656205, 47.7344975822782, -51.190845571048, -3.10718623039626, -17.4478932630223, -5.34149231985398, -13.0657483961896, -4.60843610232317, 2.73204617334919</v>
      </c>
    </row>
    <row r="117" spans="5:34" x14ac:dyDescent="0.25">
      <c r="E117" s="15">
        <v>4</v>
      </c>
      <c r="F117" t="s">
        <v>101</v>
      </c>
      <c r="G117" s="19">
        <f>F52</f>
        <v>-9.2656904594799681</v>
      </c>
      <c r="H117" s="19">
        <f>J52</f>
        <v>-34.054940829397083</v>
      </c>
      <c r="I117" s="19">
        <f>N52</f>
        <v>-4.5846765256298996</v>
      </c>
      <c r="J117" s="19">
        <f>R52</f>
        <v>-3.2505716092660357</v>
      </c>
      <c r="K117" s="19">
        <f>G52</f>
        <v>3.4229804877624441</v>
      </c>
      <c r="L117" s="19">
        <f>K52</f>
        <v>723.99227062759724</v>
      </c>
      <c r="M117" s="19">
        <f>O52</f>
        <v>1.5399892087505833</v>
      </c>
      <c r="N117" s="19">
        <f>S52</f>
        <v>1.5990426607387249</v>
      </c>
      <c r="O117" s="19">
        <f>F53</f>
        <v>-18.589671456563192</v>
      </c>
      <c r="P117" s="19">
        <f>J53</f>
        <v>-80.367105089905309</v>
      </c>
      <c r="Q117" s="19">
        <f>N53</f>
        <v>7.5822603334712726</v>
      </c>
      <c r="R117" s="19">
        <f>R53</f>
        <v>-9.0664279360666047</v>
      </c>
      <c r="W117" s="10" t="s">
        <v>138</v>
      </c>
      <c r="X117" s="10" t="s">
        <v>139</v>
      </c>
      <c r="Y117" s="10" t="s">
        <v>140</v>
      </c>
      <c r="Z117" s="10" t="s">
        <v>141</v>
      </c>
      <c r="AA117" s="26" t="s">
        <v>142</v>
      </c>
      <c r="AB117" s="26" t="s">
        <v>143</v>
      </c>
      <c r="AC117" s="26" t="s">
        <v>144</v>
      </c>
      <c r="AD117" s="26" t="s">
        <v>145</v>
      </c>
      <c r="AE117" s="27" t="s">
        <v>146</v>
      </c>
      <c r="AF117" s="27" t="s">
        <v>147</v>
      </c>
      <c r="AG117" s="27" t="s">
        <v>148</v>
      </c>
      <c r="AH117" s="27" t="s">
        <v>149</v>
      </c>
    </row>
    <row r="118" spans="5:34" x14ac:dyDescent="0.25">
      <c r="E118" s="15">
        <v>5</v>
      </c>
      <c r="F118" t="s">
        <v>102</v>
      </c>
      <c r="G118" s="19">
        <f>F54</f>
        <v>-83.74838103600446</v>
      </c>
      <c r="H118" s="19">
        <f>J54</f>
        <v>8.0228357517080067</v>
      </c>
      <c r="I118" s="19">
        <f>N54</f>
        <v>-26.487974074411543</v>
      </c>
      <c r="J118" s="19">
        <f>R54</f>
        <v>-8.7152752941052718</v>
      </c>
      <c r="K118" s="19">
        <f>G54</f>
        <v>39.855056832509376</v>
      </c>
      <c r="L118" s="19">
        <f>K54</f>
        <v>7.7520110793591197</v>
      </c>
      <c r="M118" s="19">
        <f>O54</f>
        <v>8.6603765118664118</v>
      </c>
      <c r="N118" s="19">
        <f>S54</f>
        <v>3.9804352897970641</v>
      </c>
      <c r="O118" s="19"/>
      <c r="R118" s="19"/>
      <c r="S118" s="19"/>
      <c r="T118" s="19"/>
      <c r="U118" s="19"/>
      <c r="AH118" s="16"/>
    </row>
    <row r="119" spans="5:34" x14ac:dyDescent="0.25">
      <c r="E119" s="15">
        <v>5</v>
      </c>
      <c r="F119" t="s">
        <v>103</v>
      </c>
      <c r="G119" s="19">
        <f>F55</f>
        <v>-92.323502256099289</v>
      </c>
      <c r="H119" s="19">
        <f>J55</f>
        <v>177.6322179234017</v>
      </c>
      <c r="I119" s="19">
        <f>N55</f>
        <v>-19.529529388435911</v>
      </c>
      <c r="J119" s="19">
        <f>R55</f>
        <v>-2.9887386048487019</v>
      </c>
      <c r="K119" s="19">
        <f>G55</f>
        <v>42.222014894764463</v>
      </c>
      <c r="L119" s="19">
        <f>K55</f>
        <v>119.70690573257187</v>
      </c>
      <c r="M119" s="19">
        <f>O55</f>
        <v>6.3596484397449906</v>
      </c>
      <c r="N119" s="19">
        <f>S55</f>
        <v>2.708253712691552</v>
      </c>
      <c r="O119" s="19"/>
      <c r="AH119" s="16"/>
    </row>
    <row r="120" spans="5:34" ht="15.75" thickBot="1" x14ac:dyDescent="0.3">
      <c r="E120" s="20">
        <v>5</v>
      </c>
      <c r="F120" s="22" t="s">
        <v>104</v>
      </c>
      <c r="G120" s="21">
        <f>F56</f>
        <v>-8.5751212200948359</v>
      </c>
      <c r="H120" s="21">
        <f>J56</f>
        <v>169.60938217169368</v>
      </c>
      <c r="I120" s="21">
        <f>N56</f>
        <v>6.9584446859756319</v>
      </c>
      <c r="J120" s="21">
        <f>R56</f>
        <v>5.7265366892565694</v>
      </c>
      <c r="K120" s="21">
        <f>G56</f>
        <v>3.5273417979374759</v>
      </c>
      <c r="L120" s="21">
        <f>K56</f>
        <v>127.11522614598846</v>
      </c>
      <c r="M120" s="21">
        <f>O56</f>
        <v>2.8814987306645081</v>
      </c>
      <c r="N120" s="21">
        <f>S56</f>
        <v>2.5236643866661779</v>
      </c>
      <c r="O120" s="21"/>
      <c r="P120" s="22"/>
      <c r="Q120" s="22"/>
      <c r="R120" s="22"/>
      <c r="S120" s="21"/>
      <c r="T120" s="21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3"/>
    </row>
    <row r="122" spans="5:34" ht="15.75" thickBot="1" x14ac:dyDescent="0.3"/>
    <row r="123" spans="5:34" x14ac:dyDescent="0.25">
      <c r="E123" s="24" t="s">
        <v>107</v>
      </c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4"/>
    </row>
    <row r="124" spans="5:34" x14ac:dyDescent="0.25">
      <c r="E124" s="15"/>
      <c r="G124" t="s">
        <v>85</v>
      </c>
      <c r="H124" t="s">
        <v>85</v>
      </c>
      <c r="I124" t="s">
        <v>86</v>
      </c>
      <c r="J124" t="s">
        <v>85</v>
      </c>
      <c r="K124" t="s">
        <v>5</v>
      </c>
      <c r="L124" t="s">
        <v>5</v>
      </c>
      <c r="M124" t="s">
        <v>5</v>
      </c>
      <c r="N124" t="s">
        <v>5</v>
      </c>
      <c r="O124" t="s">
        <v>87</v>
      </c>
      <c r="P124" t="s">
        <v>87</v>
      </c>
      <c r="Q124" t="s">
        <v>87</v>
      </c>
      <c r="R124" t="s">
        <v>87</v>
      </c>
      <c r="AH124" s="16"/>
    </row>
    <row r="125" spans="5:34" x14ac:dyDescent="0.25">
      <c r="E125" s="15" t="s">
        <v>88</v>
      </c>
      <c r="F125" t="s">
        <v>89</v>
      </c>
      <c r="G125" t="s">
        <v>90</v>
      </c>
      <c r="H125" t="s">
        <v>91</v>
      </c>
      <c r="I125" t="s">
        <v>92</v>
      </c>
      <c r="J125" t="s">
        <v>81</v>
      </c>
      <c r="K125" t="s">
        <v>90</v>
      </c>
      <c r="L125" t="s">
        <v>91</v>
      </c>
      <c r="M125" t="s">
        <v>92</v>
      </c>
      <c r="N125" t="s">
        <v>81</v>
      </c>
      <c r="O125" t="s">
        <v>90</v>
      </c>
      <c r="P125" t="s">
        <v>91</v>
      </c>
      <c r="Q125" t="s">
        <v>92</v>
      </c>
      <c r="R125" t="s">
        <v>81</v>
      </c>
      <c r="W125" s="17" t="s">
        <v>93</v>
      </c>
      <c r="AH125" s="16"/>
    </row>
    <row r="126" spans="5:34" x14ac:dyDescent="0.25">
      <c r="E126" s="15">
        <v>1</v>
      </c>
      <c r="F126" s="4" t="s">
        <v>94</v>
      </c>
      <c r="G126" s="19">
        <f>F59</f>
        <v>-0.70801486881425402</v>
      </c>
      <c r="H126" s="19">
        <f>J59</f>
        <v>-61.455732717611362</v>
      </c>
      <c r="I126" s="19">
        <f>N59</f>
        <v>-38.687931703274117</v>
      </c>
      <c r="J126" s="19">
        <f>R59</f>
        <v>-18.078690099770242</v>
      </c>
      <c r="K126" s="19">
        <f>G59</f>
        <v>1.7505077540935039</v>
      </c>
      <c r="L126" s="19">
        <f>K59</f>
        <v>156.49770186765022</v>
      </c>
      <c r="M126" s="19">
        <f>O59</f>
        <v>8.3769024859782633</v>
      </c>
      <c r="N126" s="19">
        <f>S59</f>
        <v>4.7556123063544584</v>
      </c>
      <c r="O126" s="19">
        <f>F60</f>
        <v>-26.481907405883042</v>
      </c>
      <c r="P126" s="19">
        <f>J60</f>
        <v>-87.973142866233488</v>
      </c>
      <c r="Q126" s="19">
        <f>N60</f>
        <v>-13.38241465478059</v>
      </c>
      <c r="R126" s="19">
        <f>R60</f>
        <v>-40.060636447613234</v>
      </c>
      <c r="V126" s="19"/>
      <c r="W126" s="19">
        <f>G126</f>
        <v>-0.70801486881425402</v>
      </c>
      <c r="X126" s="19">
        <f>H126</f>
        <v>-61.455732717611362</v>
      </c>
      <c r="Y126" s="19">
        <f>I126</f>
        <v>-38.687931703274117</v>
      </c>
      <c r="Z126" s="19">
        <f>J126</f>
        <v>-18.078690099770242</v>
      </c>
      <c r="AA126" s="19">
        <f t="shared" ref="AA126" si="39">K126</f>
        <v>1.7505077540935039</v>
      </c>
      <c r="AB126" s="19">
        <f t="shared" ref="AB126" si="40">L126</f>
        <v>156.49770186765022</v>
      </c>
      <c r="AC126" s="19">
        <f t="shared" ref="AC126" si="41">M126</f>
        <v>8.3769024859782633</v>
      </c>
      <c r="AD126" s="19">
        <f t="shared" ref="AD126" si="42">N126</f>
        <v>4.7556123063544584</v>
      </c>
      <c r="AE126" s="19">
        <f t="shared" ref="AE126" si="43">O126</f>
        <v>-26.481907405883042</v>
      </c>
      <c r="AF126" s="19">
        <f t="shared" ref="AF126" si="44">P126</f>
        <v>-87.973142866233488</v>
      </c>
      <c r="AG126" s="19">
        <f t="shared" ref="AG126" si="45">Q126</f>
        <v>-13.38241465478059</v>
      </c>
      <c r="AH126" s="25">
        <f t="shared" ref="AH126" si="46">R126</f>
        <v>-40.060636447613234</v>
      </c>
    </row>
    <row r="127" spans="5:34" x14ac:dyDescent="0.25">
      <c r="E127" s="15">
        <v>1</v>
      </c>
      <c r="F127" s="4" t="s">
        <v>95</v>
      </c>
      <c r="G127" s="19">
        <f>F61</f>
        <v>0.25351721512207598</v>
      </c>
      <c r="H127" s="19">
        <f>J61</f>
        <v>-99.71709335699731</v>
      </c>
      <c r="I127" s="19">
        <f>N61</f>
        <v>-47.496851125256001</v>
      </c>
      <c r="J127" s="19">
        <f>R61</f>
        <v>-18.02677450460342</v>
      </c>
      <c r="K127" s="19">
        <f>G61</f>
        <v>1.5114838930689642</v>
      </c>
      <c r="L127" s="19">
        <f>K61</f>
        <v>259.822007728122</v>
      </c>
      <c r="M127" s="19">
        <f>O61</f>
        <v>9.9572809645339451</v>
      </c>
      <c r="N127" s="19">
        <f>S61</f>
        <v>4.9529148104283802</v>
      </c>
      <c r="O127" s="19">
        <f>F62</f>
        <v>23.414487095863961</v>
      </c>
      <c r="P127" s="19">
        <f>J62</f>
        <v>121.57071489193623</v>
      </c>
      <c r="Q127" s="19">
        <f>N62</f>
        <v>-5.1630114121252522</v>
      </c>
      <c r="R127" s="19">
        <f>R62</f>
        <v>-49.691557822536055</v>
      </c>
      <c r="W127" t="str">
        <f t="shared" ref="W127:W134" si="47">_xlfn.CONCAT(W126,", ",G127)</f>
        <v>-0.708014868814254, 0.253517215122076</v>
      </c>
      <c r="X127" t="str">
        <f t="shared" ref="X127:X134" si="48">_xlfn.CONCAT(X126,", ",H127)</f>
        <v>-61.4557327176114, -99.7170933569973</v>
      </c>
      <c r="Y127" t="str">
        <f t="shared" ref="Y127:Y134" si="49">_xlfn.CONCAT(Y126,", ",I127)</f>
        <v>-38.6879317032741, -47.496851125256</v>
      </c>
      <c r="Z127" t="str">
        <f t="shared" ref="Z127:Z134" si="50">_xlfn.CONCAT(Z126,", ",J127)</f>
        <v>-18.0786900997702, -18.0267745046034</v>
      </c>
      <c r="AA127" t="str">
        <f t="shared" ref="AA127:AA133" si="51">_xlfn.CONCAT(AA126,", ",K127)</f>
        <v>1.7505077540935, 1.51148389306896</v>
      </c>
      <c r="AB127" t="str">
        <f t="shared" ref="AB127:AB134" si="52">_xlfn.CONCAT(AB126,", ",L127)</f>
        <v>156.49770186765, 259.822007728122</v>
      </c>
      <c r="AC127" t="str">
        <f t="shared" ref="AC127:AC134" si="53">_xlfn.CONCAT(AC126,", ",M127)</f>
        <v>8.37690248597826, 9.95728096453395</v>
      </c>
      <c r="AD127" t="str">
        <f t="shared" ref="AD127:AD134" si="54">_xlfn.CONCAT(AD126,", ",N127)</f>
        <v>4.75561230635446, 4.95291481042838</v>
      </c>
      <c r="AE127" t="str">
        <f t="shared" ref="AE127:AE134" si="55">_xlfn.CONCAT(AE126,", ",O127)</f>
        <v>-26.481907405883, 23.414487095864</v>
      </c>
      <c r="AF127" t="str">
        <f t="shared" ref="AF127:AF134" si="56">_xlfn.CONCAT(AF126,", ",P127)</f>
        <v>-87.9731428662335, 121.570714891936</v>
      </c>
      <c r="AG127" t="str">
        <f t="shared" ref="AG127:AG134" si="57">_xlfn.CONCAT(AG126,", ",Q127)</f>
        <v>-13.3824146547806, -5.16301141212525</v>
      </c>
      <c r="AH127" s="16" t="str">
        <f t="shared" ref="AH127:AH134" si="58">_xlfn.CONCAT(AH126,", ",R127)</f>
        <v>-40.0606364476132, -49.6915578225361</v>
      </c>
    </row>
    <row r="128" spans="5:34" x14ac:dyDescent="0.25">
      <c r="E128" s="15">
        <v>1</v>
      </c>
      <c r="F128" s="4" t="s">
        <v>96</v>
      </c>
      <c r="G128" s="19">
        <f>F63</f>
        <v>-34.630164313839742</v>
      </c>
      <c r="H128" s="19">
        <f>J63</f>
        <v>45.305282284896286</v>
      </c>
      <c r="I128" s="19">
        <f>N63</f>
        <v>-48.365910962353198</v>
      </c>
      <c r="J128" s="19">
        <f t="shared" ref="J128" si="59">O63</f>
        <v>10.013743179974901</v>
      </c>
      <c r="K128" s="19">
        <f>G63</f>
        <v>5.3514726453772363</v>
      </c>
      <c r="L128" s="19">
        <f>K63</f>
        <v>175.23238714927152</v>
      </c>
      <c r="M128" s="19">
        <f>O63</f>
        <v>10.013743179974901</v>
      </c>
      <c r="N128" s="19">
        <f>S63</f>
        <v>4.7841634470206138</v>
      </c>
      <c r="O128" s="19">
        <f>F64</f>
        <v>10.247954999600621</v>
      </c>
      <c r="P128" s="19">
        <f>J64</f>
        <v>228.51112162813598</v>
      </c>
      <c r="Q128" s="19">
        <f>N64</f>
        <v>-23.88964675847058</v>
      </c>
      <c r="R128" s="19">
        <f>R64</f>
        <v>39.717325073878044</v>
      </c>
      <c r="S128" s="19"/>
      <c r="W128" t="str">
        <f t="shared" si="47"/>
        <v>-0.708014868814254, 0.253517215122076, -34.6301643138397</v>
      </c>
      <c r="X128" t="str">
        <f t="shared" si="48"/>
        <v>-61.4557327176114, -99.7170933569973, 45.3052822848963</v>
      </c>
      <c r="Y128" t="str">
        <f t="shared" si="49"/>
        <v>-38.6879317032741, -47.496851125256, -48.3659109623532</v>
      </c>
      <c r="Z128" t="str">
        <f t="shared" si="50"/>
        <v>-18.0786900997702, -18.0267745046034, 10.0137431799749</v>
      </c>
      <c r="AA128" t="str">
        <f t="shared" si="51"/>
        <v>1.7505077540935, 1.51148389306896, 5.35147264537724</v>
      </c>
      <c r="AB128" t="str">
        <f t="shared" si="52"/>
        <v>156.49770186765, 259.822007728122, 175.232387149272</v>
      </c>
      <c r="AC128" t="str">
        <f t="shared" si="53"/>
        <v>8.37690248597826, 9.95728096453395, 10.0137431799749</v>
      </c>
      <c r="AD128" t="str">
        <f t="shared" si="54"/>
        <v>4.75561230635446, 4.95291481042838, 4.78416344702061</v>
      </c>
      <c r="AE128" t="str">
        <f t="shared" si="55"/>
        <v>-26.481907405883, 23.414487095864, 10.2479549996006</v>
      </c>
      <c r="AF128" t="str">
        <f t="shared" si="56"/>
        <v>-87.9731428662335, 121.570714891936, 228.511121628136</v>
      </c>
      <c r="AG128" t="str">
        <f t="shared" si="57"/>
        <v>-13.3824146547806, -5.16301141212525, -23.8896467584706</v>
      </c>
      <c r="AH128" s="16" t="str">
        <f t="shared" si="58"/>
        <v>-40.0606364476132, -49.6915578225361, 39.717325073878</v>
      </c>
    </row>
    <row r="129" spans="5:34" x14ac:dyDescent="0.25">
      <c r="E129" s="15">
        <v>2</v>
      </c>
      <c r="F129" t="s">
        <v>97</v>
      </c>
      <c r="G129" s="19">
        <f>F67</f>
        <v>7.8239965505280384</v>
      </c>
      <c r="H129" s="19">
        <f>J67</f>
        <v>9.5872597419688965</v>
      </c>
      <c r="I129" s="19">
        <f>N67</f>
        <v>2.2550612166722259</v>
      </c>
      <c r="J129" s="19">
        <f t="shared" ref="J129:N129" si="60">O67</f>
        <v>0.80128889577347118</v>
      </c>
      <c r="K129" s="19">
        <f>G67</f>
        <v>1.4464938381002257</v>
      </c>
      <c r="L129" s="19">
        <f>K67</f>
        <v>28.674286408639279</v>
      </c>
      <c r="M129" s="19">
        <f>O67</f>
        <v>0.80128889577347118</v>
      </c>
      <c r="N129" s="19">
        <f t="shared" si="60"/>
        <v>3.4088465883342622</v>
      </c>
      <c r="O129" s="19">
        <f>F68</f>
        <v>8.1410040618207553</v>
      </c>
      <c r="P129" s="19">
        <f>J68</f>
        <v>11.448860106045025</v>
      </c>
      <c r="Q129" s="19">
        <f>N68</f>
        <v>-2.5534052104245619</v>
      </c>
      <c r="R129" s="19">
        <f>R68</f>
        <v>2.5251420094690982</v>
      </c>
      <c r="W129" t="str">
        <f t="shared" si="47"/>
        <v>-0.708014868814254, 0.253517215122076, -34.6301643138397, 7.82399655052804</v>
      </c>
      <c r="X129" t="str">
        <f t="shared" si="48"/>
        <v>-61.4557327176114, -99.7170933569973, 45.3052822848963, 9.5872597419689</v>
      </c>
      <c r="Y129" t="str">
        <f t="shared" si="49"/>
        <v>-38.6879317032741, -47.496851125256, -48.3659109623532, 2.25506121667223</v>
      </c>
      <c r="Z129" t="str">
        <f t="shared" si="50"/>
        <v>-18.0786900997702, -18.0267745046034, 10.0137431799749, 0.801288895773471</v>
      </c>
      <c r="AA129" t="str">
        <f t="shared" si="51"/>
        <v>1.7505077540935, 1.51148389306896, 5.35147264537724, 1.44649383810023</v>
      </c>
      <c r="AB129" t="str">
        <f t="shared" si="52"/>
        <v>156.49770186765, 259.822007728122, 175.232387149272, 28.6742864086393</v>
      </c>
      <c r="AC129" t="str">
        <f t="shared" si="53"/>
        <v>8.37690248597826, 9.95728096453395, 10.0137431799749, 0.801288895773471</v>
      </c>
      <c r="AD129" t="str">
        <f t="shared" si="54"/>
        <v>4.75561230635446, 4.95291481042838, 4.78416344702061, 3.40884658833426</v>
      </c>
      <c r="AE129" t="str">
        <f t="shared" si="55"/>
        <v>-26.481907405883, 23.414487095864, 10.2479549996006, 8.14100406182076</v>
      </c>
      <c r="AF129" t="str">
        <f t="shared" si="56"/>
        <v>-87.9731428662335, 121.570714891936, 228.511121628136, 11.448860106045</v>
      </c>
      <c r="AG129" t="str">
        <f t="shared" si="57"/>
        <v>-13.3824146547806, -5.16301141212525, -23.8896467584706, -2.55340521042456</v>
      </c>
      <c r="AH129" s="16" t="str">
        <f t="shared" si="58"/>
        <v>-40.0606364476132, -49.6915578225361, 39.717325073878, 2.5251420094691</v>
      </c>
    </row>
    <row r="130" spans="5:34" x14ac:dyDescent="0.25">
      <c r="E130" s="15">
        <v>2</v>
      </c>
      <c r="F130" t="s">
        <v>98</v>
      </c>
      <c r="G130" s="19">
        <f>F69</f>
        <v>2.824995151487748</v>
      </c>
      <c r="H130" s="19">
        <f>J69</f>
        <v>65.254985918580346</v>
      </c>
      <c r="I130" s="19">
        <f>N69</f>
        <v>6.2416528898787114</v>
      </c>
      <c r="J130" s="19">
        <f t="shared" ref="J130:N130" si="61">O69</f>
        <v>1.1707674716911183</v>
      </c>
      <c r="K130" s="19">
        <f>G69</f>
        <v>1.2776225015937248</v>
      </c>
      <c r="L130" s="19">
        <f>K69</f>
        <v>170.38755577546863</v>
      </c>
      <c r="M130" s="19">
        <f>O69</f>
        <v>1.1707674716911183</v>
      </c>
      <c r="N130" s="19">
        <f t="shared" si="61"/>
        <v>6.0111099068755678</v>
      </c>
      <c r="O130" s="19">
        <f>F70</f>
        <v>10.104483312471395</v>
      </c>
      <c r="P130" s="19">
        <f>J70</f>
        <v>-26.759166288721538</v>
      </c>
      <c r="Q130" s="19">
        <f>N70</f>
        <v>-7.6201974903829806</v>
      </c>
      <c r="R130" s="19">
        <f>R70</f>
        <v>15.437787859799423</v>
      </c>
      <c r="W130" t="str">
        <f t="shared" si="47"/>
        <v>-0.708014868814254, 0.253517215122076, -34.6301643138397, 7.82399655052804, 2.82499515148775</v>
      </c>
      <c r="X130" t="str">
        <f t="shared" si="48"/>
        <v>-61.4557327176114, -99.7170933569973, 45.3052822848963, 9.5872597419689, 65.2549859185803</v>
      </c>
      <c r="Y130" t="str">
        <f t="shared" si="49"/>
        <v>-38.6879317032741, -47.496851125256, -48.3659109623532, 2.25506121667223, 6.24165288987871</v>
      </c>
      <c r="Z130" t="str">
        <f t="shared" si="50"/>
        <v>-18.0786900997702, -18.0267745046034, 10.0137431799749, 0.801288895773471, 1.17076747169112</v>
      </c>
      <c r="AA130" t="str">
        <f t="shared" si="51"/>
        <v>1.7505077540935, 1.51148389306896, 5.35147264537724, 1.44649383810023, 1.27762250159372</v>
      </c>
      <c r="AB130" t="str">
        <f t="shared" si="52"/>
        <v>156.49770186765, 259.822007728122, 175.232387149272, 28.6742864086393, 170.387555775469</v>
      </c>
      <c r="AC130" t="str">
        <f t="shared" si="53"/>
        <v>8.37690248597826, 9.95728096453395, 10.0137431799749, 0.801288895773471, 1.17076747169112</v>
      </c>
      <c r="AD130" t="str">
        <f t="shared" si="54"/>
        <v>4.75561230635446, 4.95291481042838, 4.78416344702061, 3.40884658833426, 6.01110990687557</v>
      </c>
      <c r="AE130" t="str">
        <f t="shared" si="55"/>
        <v>-26.481907405883, 23.414487095864, 10.2479549996006, 8.14100406182076, 10.1044833124714</v>
      </c>
      <c r="AF130" t="str">
        <f t="shared" si="56"/>
        <v>-87.9731428662335, 121.570714891936, 228.511121628136, 11.448860106045, -26.7591662887215</v>
      </c>
      <c r="AG130" t="str">
        <f t="shared" si="57"/>
        <v>-13.3824146547806, -5.16301141212525, -23.8896467584706, -2.55340521042456, -7.62019749038298</v>
      </c>
      <c r="AH130" s="16" t="str">
        <f t="shared" si="58"/>
        <v>-40.0606364476132, -49.6915578225361, 39.717325073878, 2.5251420094691, 15.4377878597994</v>
      </c>
    </row>
    <row r="131" spans="5:34" x14ac:dyDescent="0.25">
      <c r="E131" s="15">
        <v>2</v>
      </c>
      <c r="F131" t="s">
        <v>99</v>
      </c>
      <c r="G131" s="19">
        <f>F71</f>
        <v>4.89676850694911</v>
      </c>
      <c r="H131" s="19">
        <f>J71</f>
        <v>20.641345271440898</v>
      </c>
      <c r="I131" s="19">
        <f>N71</f>
        <v>4.7584394660799942</v>
      </c>
      <c r="J131" s="19">
        <f t="shared" ref="J131" si="62">O71</f>
        <v>0.98843316115569135</v>
      </c>
      <c r="K131" s="19">
        <f>G71</f>
        <v>1.3081112111621365</v>
      </c>
      <c r="L131" s="19">
        <f>K71</f>
        <v>56.945695214046367</v>
      </c>
      <c r="M131" s="19">
        <f>O71</f>
        <v>0.98843316115569135</v>
      </c>
      <c r="N131" s="19">
        <f>S71</f>
        <v>4.054244473380054</v>
      </c>
      <c r="O131" s="19">
        <f>F72</f>
        <v>3.252576219772394</v>
      </c>
      <c r="P131" s="19">
        <f>J72</f>
        <v>-33.52480775526486</v>
      </c>
      <c r="Q131" s="19">
        <f>N72</f>
        <v>-2.1156367463915879</v>
      </c>
      <c r="R131" s="19">
        <f>R72</f>
        <v>4.3221896681160841</v>
      </c>
      <c r="W131" t="str">
        <f t="shared" si="47"/>
        <v>-0.708014868814254, 0.253517215122076, -34.6301643138397, 7.82399655052804, 2.82499515148775, 4.89676850694911</v>
      </c>
      <c r="X131" t="str">
        <f t="shared" si="48"/>
        <v>-61.4557327176114, -99.7170933569973, 45.3052822848963, 9.5872597419689, 65.2549859185803, 20.6413452714409</v>
      </c>
      <c r="Y131" t="str">
        <f t="shared" si="49"/>
        <v>-38.6879317032741, -47.496851125256, -48.3659109623532, 2.25506121667223, 6.24165288987871, 4.75843946607999</v>
      </c>
      <c r="Z131" t="str">
        <f t="shared" si="50"/>
        <v>-18.0786900997702, -18.0267745046034, 10.0137431799749, 0.801288895773471, 1.17076747169112, 0.988433161155691</v>
      </c>
      <c r="AA131" t="str">
        <f t="shared" si="51"/>
        <v>1.7505077540935, 1.51148389306896, 5.35147264537724, 1.44649383810023, 1.27762250159372, 1.30811121116214</v>
      </c>
      <c r="AB131" t="str">
        <f t="shared" si="52"/>
        <v>156.49770186765, 259.822007728122, 175.232387149272, 28.6742864086393, 170.387555775469, 56.9456952140464</v>
      </c>
      <c r="AC131" t="str">
        <f t="shared" si="53"/>
        <v>8.37690248597826, 9.95728096453395, 10.0137431799749, 0.801288895773471, 1.17076747169112, 0.988433161155691</v>
      </c>
      <c r="AD131" t="str">
        <f t="shared" si="54"/>
        <v>4.75561230635446, 4.95291481042838, 4.78416344702061, 3.40884658833426, 6.01110990687557, 4.05424447338005</v>
      </c>
      <c r="AE131" t="str">
        <f t="shared" si="55"/>
        <v>-26.481907405883, 23.414487095864, 10.2479549996006, 8.14100406182076, 10.1044833124714, 3.25257621977239</v>
      </c>
      <c r="AF131" t="str">
        <f t="shared" si="56"/>
        <v>-87.9731428662335, 121.570714891936, 228.511121628136, 11.448860106045, -26.7591662887215, -33.5248077552649</v>
      </c>
      <c r="AG131" t="str">
        <f t="shared" si="57"/>
        <v>-13.3824146547806, -5.16301141212525, -23.8896467584706, -2.55340521042456, -7.62019749038298, -2.11563674639159</v>
      </c>
      <c r="AH131" s="16" t="str">
        <f t="shared" si="58"/>
        <v>-40.0606364476132, -49.6915578225361, 39.717325073878, 2.5251420094691, 15.4377878597994, 4.32218966811608</v>
      </c>
    </row>
    <row r="132" spans="5:34" x14ac:dyDescent="0.25">
      <c r="E132" s="15">
        <v>3</v>
      </c>
      <c r="F132" t="s">
        <v>27</v>
      </c>
      <c r="G132" s="19">
        <f>F73</f>
        <v>3.0431213194767119</v>
      </c>
      <c r="H132" s="19">
        <f>J73</f>
        <v>29.27170157388354</v>
      </c>
      <c r="I132" s="19">
        <f t="shared" ref="I132:I138" si="63">N72</f>
        <v>-2.1156367463915879</v>
      </c>
      <c r="J132" s="19">
        <f>R73</f>
        <v>8.1007238012163683</v>
      </c>
      <c r="K132" s="19">
        <f>G73</f>
        <v>1.1230851848315599</v>
      </c>
      <c r="L132" s="19">
        <f>K73</f>
        <v>80.034553801469869</v>
      </c>
      <c r="M132" s="19">
        <f>O73</f>
        <v>0.77595559060536301</v>
      </c>
      <c r="N132" s="19">
        <f>S73</f>
        <v>2.5406259763458139</v>
      </c>
      <c r="O132" s="19">
        <f>F74</f>
        <v>-8.5884244927051725</v>
      </c>
      <c r="P132" s="19">
        <f>J74</f>
        <v>-30.170348070244742</v>
      </c>
      <c r="Q132" s="19">
        <f>N74</f>
        <v>2.6847544581854521</v>
      </c>
      <c r="R132" s="19">
        <f>R74</f>
        <v>13.471051372935257</v>
      </c>
      <c r="W132" t="str">
        <f t="shared" si="47"/>
        <v>-0.708014868814254, 0.253517215122076, -34.6301643138397, 7.82399655052804, 2.82499515148775, 4.89676850694911, 3.04312131947671</v>
      </c>
      <c r="X132" t="str">
        <f t="shared" si="48"/>
        <v>-61.4557327176114, -99.7170933569973, 45.3052822848963, 9.5872597419689, 65.2549859185803, 20.6413452714409, 29.2717015738835</v>
      </c>
      <c r="Y132" t="str">
        <f t="shared" si="49"/>
        <v>-38.6879317032741, -47.496851125256, -48.3659109623532, 2.25506121667223, 6.24165288987871, 4.75843946607999, -2.11563674639159</v>
      </c>
      <c r="Z132" t="str">
        <f t="shared" si="50"/>
        <v>-18.0786900997702, -18.0267745046034, 10.0137431799749, 0.801288895773471, 1.17076747169112, 0.988433161155691, 8.10072380121637</v>
      </c>
      <c r="AA132" t="str">
        <f t="shared" si="51"/>
        <v>1.7505077540935, 1.51148389306896, 5.35147264537724, 1.44649383810023, 1.27762250159372, 1.30811121116214, 1.12308518483156</v>
      </c>
      <c r="AB132" t="str">
        <f t="shared" si="52"/>
        <v>156.49770186765, 259.822007728122, 175.232387149272, 28.6742864086393, 170.387555775469, 56.9456952140464, 80.0345538014699</v>
      </c>
      <c r="AC132" t="str">
        <f t="shared" si="53"/>
        <v>8.37690248597826, 9.95728096453395, 10.0137431799749, 0.801288895773471, 1.17076747169112, 0.988433161155691, 0.775955590605363</v>
      </c>
      <c r="AD132" t="str">
        <f t="shared" si="54"/>
        <v>4.75561230635446, 4.95291481042838, 4.78416344702061, 3.40884658833426, 6.01110990687557, 4.05424447338005, 2.54062597634581</v>
      </c>
      <c r="AE132" t="str">
        <f t="shared" si="55"/>
        <v>-26.481907405883, 23.414487095864, 10.2479549996006, 8.14100406182076, 10.1044833124714, 3.25257621977239, -8.58842449270517</v>
      </c>
      <c r="AF132" t="str">
        <f t="shared" si="56"/>
        <v>-87.9731428662335, 121.570714891936, 228.511121628136, 11.448860106045, -26.7591662887215, -33.5248077552649, -30.1703480702447</v>
      </c>
      <c r="AG132" t="str">
        <f t="shared" si="57"/>
        <v>-13.3824146547806, -5.16301141212525, -23.8896467584706, -2.55340521042456, -7.62019749038298, -2.11563674639159, 2.68475445818545</v>
      </c>
      <c r="AH132" s="16" t="str">
        <f t="shared" si="58"/>
        <v>-40.0606364476132, -49.6915578225361, 39.717325073878, 2.5251420094691, 15.4377878597994, 4.32218966811608, 13.4710513729353</v>
      </c>
    </row>
    <row r="133" spans="5:34" x14ac:dyDescent="0.25">
      <c r="E133" s="15">
        <v>3</v>
      </c>
      <c r="F133" t="s">
        <v>29</v>
      </c>
      <c r="G133" s="19">
        <f>F75</f>
        <v>0.59442641818297715</v>
      </c>
      <c r="H133" s="19">
        <f>J75</f>
        <v>3.7082029464846937</v>
      </c>
      <c r="I133" s="19">
        <f t="shared" si="63"/>
        <v>3.3391187638653239</v>
      </c>
      <c r="J133" s="19">
        <f>R75</f>
        <v>3.0692533282997703</v>
      </c>
      <c r="K133" s="19">
        <f>G75</f>
        <v>0.79079998994313683</v>
      </c>
      <c r="L133" s="19">
        <f>K75</f>
        <v>12.069968226297247</v>
      </c>
      <c r="M133" s="19">
        <f>O75</f>
        <v>0.5008057653714012</v>
      </c>
      <c r="N133" s="19">
        <f>S75</f>
        <v>1.241713301619193</v>
      </c>
      <c r="O133" s="19">
        <f>F76</f>
        <v>-6.548572120595054</v>
      </c>
      <c r="P133" s="19">
        <f>J76</f>
        <v>13.02149012618116</v>
      </c>
      <c r="Q133" s="19">
        <f>N76</f>
        <v>1.1056933876257593</v>
      </c>
      <c r="R133" s="19">
        <f>R76</f>
        <v>-6.7182989480702879</v>
      </c>
      <c r="W133" t="str">
        <f t="shared" si="47"/>
        <v>-0.708014868814254, 0.253517215122076, -34.6301643138397, 7.82399655052804, 2.82499515148775, 4.89676850694911, 3.04312131947671, 0.594426418182977</v>
      </c>
      <c r="X133" t="str">
        <f t="shared" si="48"/>
        <v>-61.4557327176114, -99.7170933569973, 45.3052822848963, 9.5872597419689, 65.2549859185803, 20.6413452714409, 29.2717015738835, 3.70820294648469</v>
      </c>
      <c r="Y133" t="str">
        <f t="shared" si="49"/>
        <v>-38.6879317032741, -47.496851125256, -48.3659109623532, 2.25506121667223, 6.24165288987871, 4.75843946607999, -2.11563674639159, 3.33911876386532</v>
      </c>
      <c r="Z133" t="str">
        <f t="shared" si="50"/>
        <v>-18.0786900997702, -18.0267745046034, 10.0137431799749, 0.801288895773471, 1.17076747169112, 0.988433161155691, 8.10072380121637, 3.06925332829977</v>
      </c>
      <c r="AA133" t="str">
        <f t="shared" si="51"/>
        <v>1.7505077540935, 1.51148389306896, 5.35147264537724, 1.44649383810023, 1.27762250159372, 1.30811121116214, 1.12308518483156, 0.790799989943137</v>
      </c>
      <c r="AB133" t="str">
        <f t="shared" si="52"/>
        <v>156.49770186765, 259.822007728122, 175.232387149272, 28.6742864086393, 170.387555775469, 56.9456952140464, 80.0345538014699, 12.0699682262972</v>
      </c>
      <c r="AC133" t="str">
        <f t="shared" si="53"/>
        <v>8.37690248597826, 9.95728096453395, 10.0137431799749, 0.801288895773471, 1.17076747169112, 0.988433161155691, 0.775955590605363, 0.500805765371401</v>
      </c>
      <c r="AD133" t="str">
        <f t="shared" si="54"/>
        <v>4.75561230635446, 4.95291481042838, 4.78416344702061, 3.40884658833426, 6.01110990687557, 4.05424447338005, 2.54062597634581, 1.24171330161919</v>
      </c>
      <c r="AE133" t="str">
        <f t="shared" si="55"/>
        <v>-26.481907405883, 23.414487095864, 10.2479549996006, 8.14100406182076, 10.1044833124714, 3.25257621977239, -8.58842449270517, -6.54857212059505</v>
      </c>
      <c r="AF133" t="str">
        <f t="shared" si="56"/>
        <v>-87.9731428662335, 121.570714891936, 228.511121628136, 11.448860106045, -26.7591662887215, -33.5248077552649, -30.1703480702447, 13.0214901261812</v>
      </c>
      <c r="AG133" t="str">
        <f t="shared" si="57"/>
        <v>-13.3824146547806, -5.16301141212525, -23.8896467584706, -2.55340521042456, -7.62019749038298, -2.11563674639159, 2.68475445818545, 1.10569338762576</v>
      </c>
      <c r="AH133" s="16" t="str">
        <f t="shared" si="58"/>
        <v>-40.0606364476132, -49.6915578225361, 39.717325073878, 2.5251420094691, 15.4377878597994, 4.32218966811608, 13.4710513729353, -6.71829894807029</v>
      </c>
    </row>
    <row r="134" spans="5:34" x14ac:dyDescent="0.25">
      <c r="E134" s="15">
        <v>4</v>
      </c>
      <c r="F134" t="s">
        <v>100</v>
      </c>
      <c r="G134" s="19">
        <f>F77</f>
        <v>-0.47523473486859563</v>
      </c>
      <c r="H134" s="19">
        <f>J77</f>
        <v>-22.63622690939534</v>
      </c>
      <c r="I134" s="19">
        <f t="shared" si="63"/>
        <v>2.6847544581854521</v>
      </c>
      <c r="J134" s="19">
        <f>R77</f>
        <v>-2.147225705081564</v>
      </c>
      <c r="K134" s="19">
        <f>G77</f>
        <v>0.67228141487816806</v>
      </c>
      <c r="L134" s="19">
        <f>K77</f>
        <v>56.099496758133462</v>
      </c>
      <c r="M134" s="19">
        <f>O77</f>
        <v>0.57871632866706779</v>
      </c>
      <c r="N134" s="19">
        <f>S77</f>
        <v>0.99916474836630009</v>
      </c>
      <c r="O134" s="19">
        <f>F78</f>
        <v>-1.8028174481725947</v>
      </c>
      <c r="P134" s="19">
        <f>J78</f>
        <v>-16.006197519125781</v>
      </c>
      <c r="Q134" s="19">
        <f>N78</f>
        <v>-0.72417907859352759</v>
      </c>
      <c r="R134" s="19">
        <f>R78</f>
        <v>2.289335102861672</v>
      </c>
      <c r="W134" t="str">
        <f t="shared" si="47"/>
        <v>-0.708014868814254, 0.253517215122076, -34.6301643138397, 7.82399655052804, 2.82499515148775, 4.89676850694911, 3.04312131947671, 0.594426418182977, -0.475234734868596</v>
      </c>
      <c r="X134" t="str">
        <f t="shared" si="48"/>
        <v>-61.4557327176114, -99.7170933569973, 45.3052822848963, 9.5872597419689, 65.2549859185803, 20.6413452714409, 29.2717015738835, 3.70820294648469, -22.6362269093953</v>
      </c>
      <c r="Y134" t="str">
        <f t="shared" si="49"/>
        <v>-38.6879317032741, -47.496851125256, -48.3659109623532, 2.25506121667223, 6.24165288987871, 4.75843946607999, -2.11563674639159, 3.33911876386532, 2.68475445818545</v>
      </c>
      <c r="Z134" t="str">
        <f t="shared" si="50"/>
        <v>-18.0786900997702, -18.0267745046034, 10.0137431799749, 0.801288895773471, 1.17076747169112, 0.988433161155691, 8.10072380121637, 3.06925332829977, -2.14722570508156</v>
      </c>
      <c r="AA134" t="str">
        <f>_xlfn.CONCAT(AA133,", ",K134)</f>
        <v>1.7505077540935, 1.51148389306896, 5.35147264537724, 1.44649383810023, 1.27762250159372, 1.30811121116214, 1.12308518483156, 0.790799989943137, 0.672281414878168</v>
      </c>
      <c r="AB134" t="str">
        <f t="shared" si="52"/>
        <v>156.49770186765, 259.822007728122, 175.232387149272, 28.6742864086393, 170.387555775469, 56.9456952140464, 80.0345538014699, 12.0699682262972, 56.0994967581335</v>
      </c>
      <c r="AC134" t="str">
        <f t="shared" si="53"/>
        <v>8.37690248597826, 9.95728096453395, 10.0137431799749, 0.801288895773471, 1.17076747169112, 0.988433161155691, 0.775955590605363, 0.500805765371401, 0.578716328667068</v>
      </c>
      <c r="AD134" t="str">
        <f t="shared" si="54"/>
        <v>4.75561230635446, 4.95291481042838, 4.78416344702061, 3.40884658833426, 6.01110990687557, 4.05424447338005, 2.54062597634581, 1.24171330161919, 0.9991647483663</v>
      </c>
      <c r="AE134" t="str">
        <f t="shared" si="55"/>
        <v>-26.481907405883, 23.414487095864, 10.2479549996006, 8.14100406182076, 10.1044833124714, 3.25257621977239, -8.58842449270517, -6.54857212059505, -1.80281744817259</v>
      </c>
      <c r="AF134" t="str">
        <f t="shared" si="56"/>
        <v>-87.9731428662335, 121.570714891936, 228.511121628136, 11.448860106045, -26.7591662887215, -33.5248077552649, -30.1703480702447, 13.0214901261812, -16.0061975191258</v>
      </c>
      <c r="AG134" t="str">
        <f t="shared" si="57"/>
        <v>-13.3824146547806, -5.16301141212525, -23.8896467584706, -2.55340521042456, -7.62019749038298, -2.11563674639159, 2.68475445818545, 1.10569338762576, -0.724179078593528</v>
      </c>
      <c r="AH134" s="16" t="str">
        <f t="shared" si="58"/>
        <v>-40.0606364476132, -49.6915578225361, 39.717325073878, 2.5251420094691, 15.4377878597994, 4.32218966811608, 13.4710513729353, -6.71829894807029, 2.28933510286167</v>
      </c>
    </row>
    <row r="135" spans="5:34" x14ac:dyDescent="0.25">
      <c r="E135" s="15">
        <v>4</v>
      </c>
      <c r="F135" t="s">
        <v>101</v>
      </c>
      <c r="G135" s="19">
        <f>F79</f>
        <v>-0.81572450205864888</v>
      </c>
      <c r="H135" s="19">
        <f>J79</f>
        <v>-11.175761971179821</v>
      </c>
      <c r="I135" s="19">
        <f t="shared" si="63"/>
        <v>0.76434754651662451</v>
      </c>
      <c r="J135" s="19">
        <f t="shared" ref="J135" si="64">O75</f>
        <v>0.5008057653714012</v>
      </c>
      <c r="K135" s="19">
        <f>G75</f>
        <v>0.79079998994313683</v>
      </c>
      <c r="L135" s="19">
        <f>K75</f>
        <v>12.069968226297247</v>
      </c>
      <c r="M135" s="19">
        <f>O75</f>
        <v>0.5008057653714012</v>
      </c>
      <c r="N135" s="19">
        <f t="shared" ref="N135" si="65">S75</f>
        <v>1.241713301619193</v>
      </c>
      <c r="O135" s="19">
        <f>F80</f>
        <v>-3.2965913836735661</v>
      </c>
      <c r="P135" s="19">
        <f>J80</f>
        <v>-51.513924167172092</v>
      </c>
      <c r="Q135" s="19">
        <f>N80</f>
        <v>-3.4104190082874903</v>
      </c>
      <c r="R135" s="19">
        <f>R80</f>
        <v>3.8752265385303359</v>
      </c>
      <c r="W135" s="10" t="s">
        <v>150</v>
      </c>
      <c r="X135" s="10" t="s">
        <v>151</v>
      </c>
      <c r="Y135" s="10" t="s">
        <v>152</v>
      </c>
      <c r="Z135" s="10" t="s">
        <v>153</v>
      </c>
      <c r="AA135" s="26" t="s">
        <v>154</v>
      </c>
      <c r="AB135" s="26" t="s">
        <v>155</v>
      </c>
      <c r="AC135" s="26" t="s">
        <v>156</v>
      </c>
      <c r="AD135" s="26" t="s">
        <v>157</v>
      </c>
      <c r="AE135" s="27" t="s">
        <v>158</v>
      </c>
      <c r="AF135" s="27" t="s">
        <v>159</v>
      </c>
      <c r="AG135" s="27" t="s">
        <v>160</v>
      </c>
      <c r="AH135" s="28" t="s">
        <v>161</v>
      </c>
    </row>
    <row r="136" spans="5:34" x14ac:dyDescent="0.25">
      <c r="E136" s="15">
        <v>5</v>
      </c>
      <c r="F136" t="s">
        <v>102</v>
      </c>
      <c r="G136" s="19">
        <f>F81</f>
        <v>-33.922149445025475</v>
      </c>
      <c r="H136" s="19">
        <f>J81</f>
        <v>106.76101500250766</v>
      </c>
      <c r="I136" s="19">
        <f t="shared" si="63"/>
        <v>1.1056933876257593</v>
      </c>
      <c r="J136" s="19">
        <f>R81</f>
        <v>3.3254478309857838</v>
      </c>
      <c r="K136" s="19">
        <f>G81</f>
        <v>7.3507414402520519</v>
      </c>
      <c r="L136" s="19">
        <f>K81</f>
        <v>102.7312405026785</v>
      </c>
      <c r="M136" s="19">
        <f>O81</f>
        <v>1.1322150835281677</v>
      </c>
      <c r="N136" s="19">
        <f>S81</f>
        <v>1.7066148818592559</v>
      </c>
      <c r="O136" s="19"/>
      <c r="R136" s="19"/>
      <c r="S136" s="19"/>
      <c r="T136" s="19"/>
      <c r="U136" s="19"/>
      <c r="AH136" s="16"/>
    </row>
    <row r="137" spans="5:34" x14ac:dyDescent="0.25">
      <c r="E137" s="15">
        <v>5</v>
      </c>
      <c r="F137" t="s">
        <v>103</v>
      </c>
      <c r="G137" s="19">
        <f>F82</f>
        <v>-34.883681528961816</v>
      </c>
      <c r="H137" s="19">
        <f>J82</f>
        <v>145.02237564189363</v>
      </c>
      <c r="I137" s="19">
        <f t="shared" si="63"/>
        <v>-1.245061488514003</v>
      </c>
      <c r="J137" s="19">
        <f>R82</f>
        <v>3.273532235818962</v>
      </c>
      <c r="K137" s="19">
        <f>G82</f>
        <v>9.5182381601726913</v>
      </c>
      <c r="L137" s="19">
        <f>K82</f>
        <v>140.73896219376911</v>
      </c>
      <c r="M137" s="19">
        <f>O82</f>
        <v>0.93828557455364658</v>
      </c>
      <c r="N137" s="19">
        <f>S82</f>
        <v>1.5460605809846959</v>
      </c>
      <c r="O137" s="19"/>
      <c r="AH137" s="16"/>
    </row>
    <row r="138" spans="5:34" ht="15.75" thickBot="1" x14ac:dyDescent="0.3">
      <c r="E138" s="20">
        <v>5</v>
      </c>
      <c r="F138" s="22" t="s">
        <v>104</v>
      </c>
      <c r="G138" s="21">
        <f>F83</f>
        <v>-0.96153208393633061</v>
      </c>
      <c r="H138" s="21">
        <f>J83</f>
        <v>38.261360639385941</v>
      </c>
      <c r="I138" s="19">
        <f t="shared" si="63"/>
        <v>-0.72417907859352759</v>
      </c>
      <c r="J138" s="21">
        <f>R83</f>
        <v>-5.1915595166822641E-2</v>
      </c>
      <c r="K138" s="21">
        <f>G83</f>
        <v>3.8727502380042722</v>
      </c>
      <c r="L138" s="21">
        <f>K83</f>
        <v>38.164604722881897</v>
      </c>
      <c r="M138" s="21">
        <f>O83</f>
        <v>1.1742544030900324</v>
      </c>
      <c r="N138" s="21">
        <f>S83</f>
        <v>0.66203796044236196</v>
      </c>
      <c r="O138" s="21"/>
      <c r="P138" s="22"/>
      <c r="Q138" s="22"/>
      <c r="R138" s="22"/>
      <c r="S138" s="21"/>
      <c r="T138" s="21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5D9F-2542-41F2-950F-A79151376505}">
  <dimension ref="A1:AH94"/>
  <sheetViews>
    <sheetView topLeftCell="C1" workbookViewId="0">
      <selection activeCell="U4" sqref="U4"/>
    </sheetView>
  </sheetViews>
  <sheetFormatPr defaultColWidth="9" defaultRowHeight="15" x14ac:dyDescent="0.25"/>
  <cols>
    <col min="1" max="1" width="9.85546875" customWidth="1"/>
    <col min="2" max="2" width="6.85546875" hidden="1" customWidth="1"/>
    <col min="3" max="3" width="28.28515625" customWidth="1"/>
  </cols>
  <sheetData>
    <row r="1" spans="1:21" x14ac:dyDescent="0.25">
      <c r="B1" t="s">
        <v>35</v>
      </c>
      <c r="F1" s="2" t="s">
        <v>0</v>
      </c>
      <c r="G1" s="1"/>
      <c r="J1" s="1" t="s">
        <v>80</v>
      </c>
      <c r="N1" s="1" t="s">
        <v>2</v>
      </c>
      <c r="R1" s="8" t="s">
        <v>81</v>
      </c>
    </row>
    <row r="2" spans="1:21" x14ac:dyDescent="0.25">
      <c r="A2" s="2"/>
      <c r="C2" t="s">
        <v>3</v>
      </c>
      <c r="F2" t="s">
        <v>4</v>
      </c>
      <c r="G2" t="s">
        <v>5</v>
      </c>
      <c r="H2" t="s">
        <v>6</v>
      </c>
      <c r="J2" t="s">
        <v>4</v>
      </c>
      <c r="K2" t="s">
        <v>5</v>
      </c>
      <c r="L2" t="s">
        <v>6</v>
      </c>
      <c r="N2" t="s">
        <v>4</v>
      </c>
      <c r="O2" t="s">
        <v>5</v>
      </c>
      <c r="P2" t="s">
        <v>6</v>
      </c>
      <c r="R2" t="s">
        <v>4</v>
      </c>
      <c r="S2" t="s">
        <v>5</v>
      </c>
      <c r="T2" t="s">
        <v>6</v>
      </c>
    </row>
    <row r="3" spans="1:21" x14ac:dyDescent="0.25">
      <c r="A3" s="2" t="s">
        <v>110</v>
      </c>
    </row>
    <row r="4" spans="1:21" x14ac:dyDescent="0.25">
      <c r="A4" s="2"/>
      <c r="B4" s="4" t="s">
        <v>13</v>
      </c>
      <c r="C4" t="s">
        <v>57</v>
      </c>
      <c r="F4">
        <v>-6.4470886710630708</v>
      </c>
      <c r="G4">
        <v>1.822453366850584</v>
      </c>
      <c r="H4">
        <v>-70.751754621896353</v>
      </c>
      <c r="I4" t="str">
        <f>IF(ABS(H4)&gt;2.576,"***",IF(ABS(H4)&gt;1.96,"**",IF(ABS(H4)&gt;1.645,"*","")))</f>
        <v>***</v>
      </c>
      <c r="J4">
        <v>3.1846122943196198</v>
      </c>
      <c r="K4">
        <v>18.397532106373532</v>
      </c>
      <c r="L4">
        <v>0.1730999720998645</v>
      </c>
      <c r="M4" t="str">
        <f>IF(ABS(L4)&gt;2.576,"***",IF(ABS(L4)&gt;1.96,"**",IF(ABS(L4)&gt;1.645,"*","")))</f>
        <v/>
      </c>
      <c r="N4">
        <v>-12.479546193618187</v>
      </c>
      <c r="O4">
        <v>1.7797135264764918</v>
      </c>
      <c r="P4">
        <v>-7.0121095378341103</v>
      </c>
      <c r="Q4" t="str">
        <f>IF(ABS(P4)&gt;2.576,"***",IF(ABS(P4)&gt;1.96,"**",IF(ABS(P4)&gt;1.645,"*","")))</f>
        <v>***</v>
      </c>
      <c r="R4">
        <v>-19.48501237513468</v>
      </c>
      <c r="S4">
        <v>3.7326769477208401</v>
      </c>
      <c r="T4">
        <v>-104.40235063488237</v>
      </c>
      <c r="U4" t="str">
        <f>IF(ABS(T4)&gt;2.576,"***",IF(ABS(T4)&gt;1.96,"**",IF(ABS(T4)&gt;1.645,"*","")))</f>
        <v>***</v>
      </c>
    </row>
    <row r="5" spans="1:21" x14ac:dyDescent="0.25">
      <c r="A5" s="2"/>
      <c r="C5" t="s">
        <v>58</v>
      </c>
      <c r="F5">
        <v>-19.762246576679644</v>
      </c>
      <c r="G5">
        <v>4.2708835693435434</v>
      </c>
      <c r="H5">
        <v>-92.544066143752062</v>
      </c>
      <c r="I5" t="str">
        <f t="shared" ref="I5:I30" si="0">IF(ABS(H5)&gt;2.576,"***",IF(ABS(H5)&gt;1.96,"**",IF(ABS(H5)&gt;1.645,"*","")))</f>
        <v>***</v>
      </c>
      <c r="J5">
        <v>191.32943514016955</v>
      </c>
      <c r="K5">
        <v>651.57155789639319</v>
      </c>
      <c r="L5">
        <v>0.29364301253093211</v>
      </c>
      <c r="M5" t="str">
        <f t="shared" ref="M5:M30" si="1">IF(ABS(L5)&gt;2.576,"***",IF(ABS(L5)&gt;1.96,"**",IF(ABS(L5)&gt;1.645,"*","")))</f>
        <v/>
      </c>
      <c r="N5">
        <v>-12.345930218803346</v>
      </c>
      <c r="O5">
        <v>1.9199751095420501</v>
      </c>
      <c r="P5">
        <v>-6.4302553493769414</v>
      </c>
      <c r="Q5" t="str">
        <f t="shared" ref="Q5:Q30" si="2">IF(ABS(P5)&gt;2.576,"***",IF(ABS(P5)&gt;1.96,"**",IF(ABS(P5)&gt;1.645,"*","")))</f>
        <v>***</v>
      </c>
      <c r="R5">
        <v>-56.896945027499783</v>
      </c>
      <c r="S5">
        <v>11.95003075939054</v>
      </c>
      <c r="T5">
        <v>-95.224767489053022</v>
      </c>
      <c r="U5" t="str">
        <f t="shared" ref="U5:U30" si="3">IF(ABS(T5)&gt;2.576,"***",IF(ABS(T5)&gt;1.96,"**",IF(ABS(T5)&gt;1.645,"*","")))</f>
        <v>***</v>
      </c>
    </row>
    <row r="6" spans="1:21" x14ac:dyDescent="0.25">
      <c r="A6" s="2"/>
      <c r="B6" s="4" t="s">
        <v>15</v>
      </c>
      <c r="C6" t="s">
        <v>59</v>
      </c>
      <c r="F6">
        <v>-3.9865244272693179</v>
      </c>
      <c r="G6">
        <v>2.0204537997163761</v>
      </c>
      <c r="H6">
        <v>-39.46167368765304</v>
      </c>
      <c r="I6" t="str">
        <f t="shared" si="0"/>
        <v>***</v>
      </c>
      <c r="J6">
        <v>-36.694685051977437</v>
      </c>
      <c r="K6">
        <v>124.24246431880835</v>
      </c>
      <c r="L6">
        <v>-0.2953473697834762</v>
      </c>
      <c r="M6" t="str">
        <f t="shared" si="1"/>
        <v/>
      </c>
      <c r="N6">
        <v>-15.130019804169258</v>
      </c>
      <c r="O6">
        <v>2.2102779584302641</v>
      </c>
      <c r="P6">
        <v>-6.8453018528559078</v>
      </c>
      <c r="Q6" t="str">
        <f t="shared" si="2"/>
        <v>***</v>
      </c>
      <c r="R6">
        <v>-29.122909483828117</v>
      </c>
      <c r="S6">
        <v>6.00555563915702</v>
      </c>
      <c r="T6">
        <v>-96.986561223221003</v>
      </c>
      <c r="U6" t="str">
        <f t="shared" si="3"/>
        <v>***</v>
      </c>
    </row>
    <row r="7" spans="1:21" x14ac:dyDescent="0.25">
      <c r="A7" s="2"/>
      <c r="C7" t="s">
        <v>60</v>
      </c>
      <c r="F7">
        <v>-31.973735465610179</v>
      </c>
      <c r="G7">
        <v>6.6942122008568337</v>
      </c>
      <c r="H7">
        <v>-95.526507096735443</v>
      </c>
      <c r="I7" t="str">
        <f t="shared" si="0"/>
        <v>***</v>
      </c>
      <c r="J7">
        <v>250.4140102346438</v>
      </c>
      <c r="K7">
        <v>852.2121627364254</v>
      </c>
      <c r="L7">
        <v>0.2938399863134698</v>
      </c>
      <c r="M7" t="str">
        <f t="shared" si="1"/>
        <v/>
      </c>
      <c r="N7">
        <v>-15.74255249751703</v>
      </c>
      <c r="O7">
        <v>2.4735806067831141</v>
      </c>
      <c r="P7">
        <v>-6.364277135075934</v>
      </c>
      <c r="Q7" t="str">
        <f t="shared" si="2"/>
        <v>***</v>
      </c>
      <c r="R7">
        <v>61.01364460877236</v>
      </c>
      <c r="S7">
        <v>12.777848439781961</v>
      </c>
      <c r="T7">
        <v>95.49908953187348</v>
      </c>
      <c r="U7" t="str">
        <f t="shared" si="3"/>
        <v>***</v>
      </c>
    </row>
    <row r="8" spans="1:21" x14ac:dyDescent="0.25">
      <c r="A8" s="2"/>
      <c r="B8" s="4" t="s">
        <v>17</v>
      </c>
      <c r="C8" t="s">
        <v>61</v>
      </c>
      <c r="F8">
        <v>-42.349605546813898</v>
      </c>
      <c r="G8">
        <v>9.0616709357528826</v>
      </c>
      <c r="H8">
        <v>-93.469749336677538</v>
      </c>
      <c r="I8" t="str">
        <f t="shared" si="0"/>
        <v>***</v>
      </c>
      <c r="J8">
        <v>-18.119781368428413</v>
      </c>
      <c r="K8">
        <v>62.210782635073144</v>
      </c>
      <c r="L8">
        <v>-0.29126432108592148</v>
      </c>
      <c r="M8" t="str">
        <f t="shared" si="1"/>
        <v/>
      </c>
      <c r="N8">
        <v>-23.81272158399392</v>
      </c>
      <c r="O8">
        <v>3.3676945104708778</v>
      </c>
      <c r="P8">
        <v>-7.0709268640475269</v>
      </c>
      <c r="Q8" t="str">
        <f t="shared" si="2"/>
        <v>***</v>
      </c>
      <c r="R8">
        <v>-29.744531088816778</v>
      </c>
      <c r="S8">
        <v>6.2514002521055447</v>
      </c>
      <c r="T8">
        <v>-95.161179541490668</v>
      </c>
      <c r="U8" t="str">
        <f t="shared" si="3"/>
        <v>***</v>
      </c>
    </row>
    <row r="9" spans="1:21" x14ac:dyDescent="0.25">
      <c r="A9" s="2"/>
      <c r="C9" t="s">
        <v>62</v>
      </c>
      <c r="F9">
        <v>-2.4448731670655239</v>
      </c>
      <c r="G9">
        <v>1.1546797888008462</v>
      </c>
      <c r="H9">
        <v>-42.347206399179562</v>
      </c>
      <c r="I9" t="str">
        <f t="shared" si="0"/>
        <v>***</v>
      </c>
      <c r="J9">
        <v>156.52832333896197</v>
      </c>
      <c r="K9">
        <v>534.36926640635659</v>
      </c>
      <c r="L9">
        <v>0.29292164272773002</v>
      </c>
      <c r="M9" t="str">
        <f t="shared" si="1"/>
        <v/>
      </c>
      <c r="N9">
        <v>12.339015260003055</v>
      </c>
      <c r="O9">
        <v>2.0520878730738739</v>
      </c>
      <c r="P9">
        <v>6.0129078398188316</v>
      </c>
      <c r="Q9" t="str">
        <f t="shared" si="2"/>
        <v>***</v>
      </c>
      <c r="R9">
        <v>53.71267799137236</v>
      </c>
      <c r="S9">
        <v>11.365111264057164</v>
      </c>
      <c r="T9">
        <v>94.522045131651055</v>
      </c>
      <c r="U9" t="str">
        <f t="shared" si="3"/>
        <v>***</v>
      </c>
    </row>
    <row r="10" spans="1:21" x14ac:dyDescent="0.25">
      <c r="A10" s="2"/>
      <c r="C10" t="s">
        <v>48</v>
      </c>
      <c r="F10">
        <v>22.763649843376239</v>
      </c>
      <c r="G10">
        <v>5.6539802538452841</v>
      </c>
      <c r="H10">
        <v>80.52256577265058</v>
      </c>
      <c r="I10" t="str">
        <f t="shared" si="0"/>
        <v>***</v>
      </c>
      <c r="J10">
        <v>-15.472977381516777</v>
      </c>
      <c r="K10">
        <v>68.803271899660203</v>
      </c>
      <c r="L10">
        <v>-0.2248872321665446</v>
      </c>
      <c r="M10" t="str">
        <f t="shared" si="1"/>
        <v/>
      </c>
      <c r="N10">
        <v>27.042970900836977</v>
      </c>
      <c r="O10">
        <v>3.6228501678719658</v>
      </c>
      <c r="P10">
        <v>7.4645568123844894</v>
      </c>
      <c r="Q10" t="str">
        <f t="shared" si="2"/>
        <v>***</v>
      </c>
      <c r="R10">
        <v>19.990829122665868</v>
      </c>
      <c r="S10">
        <v>4.6458941690352962</v>
      </c>
      <c r="T10">
        <v>86.058047795853682</v>
      </c>
      <c r="U10" t="str">
        <f t="shared" si="3"/>
        <v>***</v>
      </c>
    </row>
    <row r="11" spans="1:21" x14ac:dyDescent="0.25">
      <c r="A11" s="2"/>
      <c r="C11" t="s">
        <v>49</v>
      </c>
      <c r="F11">
        <v>-23.098800113235242</v>
      </c>
      <c r="G11">
        <v>2.461183157280372</v>
      </c>
      <c r="H11">
        <v>-187.7048446793338</v>
      </c>
      <c r="I11" t="str">
        <f t="shared" si="0"/>
        <v>***</v>
      </c>
      <c r="J11">
        <v>45.923735972411038</v>
      </c>
      <c r="K11">
        <v>9.0281641807448363</v>
      </c>
      <c r="L11">
        <v>5.0867191881995941</v>
      </c>
      <c r="M11" t="str">
        <f t="shared" si="1"/>
        <v>***</v>
      </c>
      <c r="N11">
        <v>-13.872944732915403</v>
      </c>
      <c r="O11">
        <v>1.7740515066213682</v>
      </c>
      <c r="P11">
        <v>-7.8199221844105544</v>
      </c>
      <c r="Q11" t="str">
        <f t="shared" si="2"/>
        <v>***</v>
      </c>
      <c r="R11">
        <v>-28.208642498470361</v>
      </c>
      <c r="S11">
        <v>1.5292378016497161</v>
      </c>
      <c r="T11">
        <v>-368.92421136908018</v>
      </c>
      <c r="U11" t="str">
        <f t="shared" si="3"/>
        <v>***</v>
      </c>
    </row>
    <row r="12" spans="1:21" x14ac:dyDescent="0.25">
      <c r="B12" t="s">
        <v>21</v>
      </c>
      <c r="C12" t="s">
        <v>63</v>
      </c>
      <c r="F12">
        <v>4.9206085734208136</v>
      </c>
      <c r="G12">
        <v>1.745488502672361</v>
      </c>
      <c r="H12">
        <v>56.380876366556542</v>
      </c>
      <c r="I12" t="str">
        <f t="shared" si="0"/>
        <v>***</v>
      </c>
      <c r="J12">
        <v>3.7675442910066081</v>
      </c>
      <c r="K12">
        <v>19.397114964949036</v>
      </c>
      <c r="L12">
        <v>0.19423219885094431</v>
      </c>
      <c r="M12" t="str">
        <f t="shared" si="1"/>
        <v/>
      </c>
      <c r="N12">
        <v>1.9131742633049797</v>
      </c>
      <c r="O12">
        <v>0.69275247501916781</v>
      </c>
      <c r="P12">
        <v>2.7616996435155921</v>
      </c>
      <c r="Q12" t="str">
        <f t="shared" si="2"/>
        <v>***</v>
      </c>
      <c r="R12">
        <v>11.795355597175135</v>
      </c>
      <c r="S12">
        <v>2.6349032836212483</v>
      </c>
      <c r="T12">
        <v>89.531601941490095</v>
      </c>
      <c r="U12" t="str">
        <f t="shared" si="3"/>
        <v>***</v>
      </c>
    </row>
    <row r="13" spans="1:21" x14ac:dyDescent="0.25">
      <c r="C13" t="s">
        <v>64</v>
      </c>
      <c r="F13">
        <v>-7.6358291273398562</v>
      </c>
      <c r="G13">
        <v>2.1488449757813419</v>
      </c>
      <c r="H13">
        <v>-71.069148434622562</v>
      </c>
      <c r="I13" t="str">
        <f t="shared" si="0"/>
        <v>***</v>
      </c>
      <c r="J13">
        <v>82.470113954945532</v>
      </c>
      <c r="K13">
        <v>279.49577151261019</v>
      </c>
      <c r="L13">
        <v>0.29506748352085421</v>
      </c>
      <c r="M13" t="str">
        <f t="shared" si="1"/>
        <v/>
      </c>
      <c r="N13">
        <v>1.76738362299194</v>
      </c>
      <c r="O13">
        <v>1.3446688104178108</v>
      </c>
      <c r="P13">
        <v>1.314363514122697</v>
      </c>
      <c r="Q13" t="str">
        <f t="shared" si="2"/>
        <v/>
      </c>
      <c r="R13">
        <v>-3.103215382336864</v>
      </c>
      <c r="S13">
        <v>1.1073244809942135</v>
      </c>
      <c r="T13">
        <v>-56.048889654288779</v>
      </c>
      <c r="U13" t="str">
        <f t="shared" si="3"/>
        <v>***</v>
      </c>
    </row>
    <row r="14" spans="1:21" x14ac:dyDescent="0.25">
      <c r="B14" t="s">
        <v>23</v>
      </c>
      <c r="C14" t="s">
        <v>65</v>
      </c>
      <c r="F14">
        <v>5.3820247318699623</v>
      </c>
      <c r="G14">
        <v>1.9830969123513689</v>
      </c>
      <c r="H14">
        <v>54.27898856933286</v>
      </c>
      <c r="I14" t="str">
        <f t="shared" si="0"/>
        <v>***</v>
      </c>
      <c r="J14">
        <v>83.686812925331765</v>
      </c>
      <c r="K14">
        <v>285.23566699229764</v>
      </c>
      <c r="L14">
        <v>0.29339533098289422</v>
      </c>
      <c r="M14" t="str">
        <f t="shared" si="1"/>
        <v/>
      </c>
      <c r="N14">
        <v>5.2652997626914457</v>
      </c>
      <c r="O14">
        <v>0.9594099294244538</v>
      </c>
      <c r="P14">
        <v>5.4880605267970051</v>
      </c>
      <c r="Q14" t="str">
        <f t="shared" si="2"/>
        <v>***</v>
      </c>
      <c r="R14">
        <v>24.22206577229236</v>
      </c>
      <c r="S14">
        <v>5.0825635225110721</v>
      </c>
      <c r="T14">
        <v>95.314365142751015</v>
      </c>
      <c r="U14" t="str">
        <f t="shared" si="3"/>
        <v>***</v>
      </c>
    </row>
    <row r="15" spans="1:21" x14ac:dyDescent="0.25">
      <c r="C15" t="s">
        <v>66</v>
      </c>
      <c r="F15">
        <v>13.42298036191213</v>
      </c>
      <c r="G15">
        <v>2.668722700117732</v>
      </c>
      <c r="H15">
        <v>100.59479286716426</v>
      </c>
      <c r="I15" t="str">
        <f t="shared" si="0"/>
        <v>***</v>
      </c>
      <c r="J15">
        <v>67.828512840866182</v>
      </c>
      <c r="K15">
        <v>232.02860098043459</v>
      </c>
      <c r="L15">
        <v>0.29232824123516432</v>
      </c>
      <c r="M15" t="str">
        <f t="shared" si="1"/>
        <v/>
      </c>
      <c r="N15">
        <v>6.2379807434713843</v>
      </c>
      <c r="O15">
        <v>1.0319291283147058</v>
      </c>
      <c r="P15">
        <v>6.0449701169487646</v>
      </c>
      <c r="Q15" t="str">
        <f t="shared" si="2"/>
        <v>***</v>
      </c>
      <c r="R15">
        <v>-19.717468762836951</v>
      </c>
      <c r="S15">
        <v>4.2873346530005376</v>
      </c>
      <c r="T15">
        <v>-91.980077874431672</v>
      </c>
      <c r="U15" t="str">
        <f t="shared" si="3"/>
        <v>***</v>
      </c>
    </row>
    <row r="16" spans="1:21" x14ac:dyDescent="0.25">
      <c r="B16" t="s">
        <v>25</v>
      </c>
      <c r="C16" t="s">
        <v>67</v>
      </c>
      <c r="F16">
        <v>6.9620740453216099</v>
      </c>
      <c r="G16">
        <v>1.8269702022682288</v>
      </c>
      <c r="H16">
        <v>76.214423603384674</v>
      </c>
      <c r="I16" t="str">
        <f t="shared" si="0"/>
        <v>***</v>
      </c>
      <c r="J16">
        <v>20.627986526681582</v>
      </c>
      <c r="K16">
        <v>69.43061343162276</v>
      </c>
      <c r="L16">
        <v>0.29710217881045531</v>
      </c>
      <c r="M16" t="str">
        <f t="shared" si="1"/>
        <v/>
      </c>
      <c r="N16">
        <v>3.2262907332964779</v>
      </c>
      <c r="O16">
        <v>0.76273867192528111</v>
      </c>
      <c r="P16">
        <v>4.2298769579268543</v>
      </c>
      <c r="Q16" t="str">
        <f t="shared" si="2"/>
        <v>***</v>
      </c>
      <c r="R16">
        <v>13.777282307285963</v>
      </c>
      <c r="S16">
        <v>2.9931692537709695</v>
      </c>
      <c r="T16">
        <v>92.05815735230162</v>
      </c>
      <c r="U16" t="str">
        <f t="shared" si="3"/>
        <v>***</v>
      </c>
    </row>
    <row r="17" spans="1:21" x14ac:dyDescent="0.25">
      <c r="C17" t="s">
        <v>68</v>
      </c>
      <c r="F17">
        <v>-0.76986088981206868</v>
      </c>
      <c r="G17">
        <v>1.5209217112254891</v>
      </c>
      <c r="H17">
        <v>-10.123609704956479</v>
      </c>
      <c r="I17" t="str">
        <f t="shared" si="0"/>
        <v>***</v>
      </c>
      <c r="J17">
        <v>-49.649572173439182</v>
      </c>
      <c r="K17">
        <v>169.96912259080722</v>
      </c>
      <c r="L17">
        <v>-0.29210936325751491</v>
      </c>
      <c r="M17" t="str">
        <f t="shared" si="1"/>
        <v/>
      </c>
      <c r="N17">
        <v>4.6897813436220819</v>
      </c>
      <c r="O17">
        <v>1.0957985129902204</v>
      </c>
      <c r="P17">
        <v>4.2797843654894034</v>
      </c>
      <c r="Q17" t="str">
        <f t="shared" si="2"/>
        <v>***</v>
      </c>
      <c r="R17">
        <v>2.2691528113441661</v>
      </c>
      <c r="S17">
        <v>0.98890525757290604</v>
      </c>
      <c r="T17">
        <v>45.892218571340265</v>
      </c>
      <c r="U17" t="str">
        <f t="shared" si="3"/>
        <v>***</v>
      </c>
    </row>
    <row r="18" spans="1:21" x14ac:dyDescent="0.25">
      <c r="B18" t="s">
        <v>27</v>
      </c>
      <c r="C18" t="s">
        <v>69</v>
      </c>
      <c r="F18">
        <v>6.1617829004590341</v>
      </c>
      <c r="G18">
        <v>1.6096268732565275</v>
      </c>
      <c r="H18">
        <v>76.561630559668544</v>
      </c>
      <c r="I18" t="str">
        <f t="shared" si="0"/>
        <v>***</v>
      </c>
      <c r="J18">
        <v>12.816415150244239</v>
      </c>
      <c r="K18">
        <v>44.826427856328159</v>
      </c>
      <c r="L18">
        <v>0.2859120336628595</v>
      </c>
      <c r="M18" t="str">
        <f t="shared" si="1"/>
        <v/>
      </c>
      <c r="N18">
        <v>2.1003921287810003</v>
      </c>
      <c r="O18">
        <v>0.55373848886648402</v>
      </c>
      <c r="P18">
        <v>3.793112039368173</v>
      </c>
      <c r="Q18" t="str">
        <f t="shared" si="2"/>
        <v>***</v>
      </c>
      <c r="R18">
        <v>12.021814080330133</v>
      </c>
      <c r="S18">
        <v>2.6554064355926084</v>
      </c>
      <c r="T18">
        <v>90.545943695788509</v>
      </c>
      <c r="U18" t="str">
        <f t="shared" si="3"/>
        <v>***</v>
      </c>
    </row>
    <row r="19" spans="1:21" x14ac:dyDescent="0.25">
      <c r="C19" t="s">
        <v>70</v>
      </c>
      <c r="F19">
        <v>8.5451324865111076</v>
      </c>
      <c r="G19">
        <v>1.9236901798725239</v>
      </c>
      <c r="H19">
        <v>88.841047024291242</v>
      </c>
      <c r="I19" t="str">
        <f t="shared" si="0"/>
        <v>***</v>
      </c>
      <c r="J19">
        <v>-59.035774415241178</v>
      </c>
      <c r="K19">
        <v>200.54785106384941</v>
      </c>
      <c r="L19">
        <v>-0.29437251061067571</v>
      </c>
      <c r="M19" t="str">
        <f t="shared" si="1"/>
        <v/>
      </c>
      <c r="N19">
        <v>-3.1036816528563222</v>
      </c>
      <c r="O19">
        <v>0.77311332963492918</v>
      </c>
      <c r="P19">
        <v>-4.0145235295864161</v>
      </c>
      <c r="Q19" t="str">
        <f t="shared" si="2"/>
        <v>***</v>
      </c>
      <c r="R19">
        <v>15.492986531715463</v>
      </c>
      <c r="S19">
        <v>3.361559251367682</v>
      </c>
      <c r="T19">
        <v>92.177381823104838</v>
      </c>
      <c r="U19" t="str">
        <f t="shared" si="3"/>
        <v>***</v>
      </c>
    </row>
    <row r="20" spans="1:21" x14ac:dyDescent="0.25">
      <c r="B20" t="s">
        <v>29</v>
      </c>
      <c r="C20" t="s">
        <v>71</v>
      </c>
      <c r="F20">
        <v>2.270644951887248</v>
      </c>
      <c r="G20">
        <v>1.1486379622682621</v>
      </c>
      <c r="H20">
        <v>39.536303456370398</v>
      </c>
      <c r="I20" t="str">
        <f t="shared" si="0"/>
        <v>***</v>
      </c>
      <c r="J20">
        <v>4.1217861368779216</v>
      </c>
      <c r="K20">
        <v>19.909185072358728</v>
      </c>
      <c r="L20">
        <v>0.2070293747281739</v>
      </c>
      <c r="M20" t="str">
        <f t="shared" si="1"/>
        <v/>
      </c>
      <c r="N20">
        <v>0.8710527986896297</v>
      </c>
      <c r="O20">
        <v>0.53463159204897781</v>
      </c>
      <c r="P20">
        <v>1.6292580005444799</v>
      </c>
      <c r="Q20" t="str">
        <f t="shared" si="2"/>
        <v/>
      </c>
      <c r="R20">
        <v>2.994641785373318</v>
      </c>
      <c r="S20">
        <v>0.9185612990113281</v>
      </c>
      <c r="T20">
        <v>65.20287298401378</v>
      </c>
      <c r="U20" t="str">
        <f t="shared" si="3"/>
        <v>***</v>
      </c>
    </row>
    <row r="21" spans="1:21" x14ac:dyDescent="0.25">
      <c r="C21" t="s">
        <v>72</v>
      </c>
      <c r="F21">
        <v>7.3370422866029621</v>
      </c>
      <c r="G21">
        <v>1.6171810201814614</v>
      </c>
      <c r="H21">
        <v>90.738664318230562</v>
      </c>
      <c r="I21" t="str">
        <f t="shared" si="0"/>
        <v>***</v>
      </c>
      <c r="J21">
        <v>55.835709554585605</v>
      </c>
      <c r="K21">
        <v>191.74435724671267</v>
      </c>
      <c r="L21">
        <v>0.29119871038887052</v>
      </c>
      <c r="M21" t="str">
        <f t="shared" si="1"/>
        <v/>
      </c>
      <c r="N21">
        <v>3.1949918546767258</v>
      </c>
      <c r="O21">
        <v>0.84744279027487979</v>
      </c>
      <c r="P21">
        <v>3.7701563944397791</v>
      </c>
      <c r="Q21" t="str">
        <f t="shared" si="2"/>
        <v>***</v>
      </c>
      <c r="R21">
        <v>-8.0298025256088295</v>
      </c>
      <c r="S21">
        <v>1.7473309989518953</v>
      </c>
      <c r="T21">
        <v>-91.909346659852758</v>
      </c>
      <c r="U21" t="str">
        <f t="shared" si="3"/>
        <v>***</v>
      </c>
    </row>
    <row r="22" spans="1:21" x14ac:dyDescent="0.25">
      <c r="B22" t="s">
        <v>31</v>
      </c>
      <c r="C22" t="s">
        <v>73</v>
      </c>
      <c r="F22">
        <v>-3.351491051586196</v>
      </c>
      <c r="G22">
        <v>1.1013628939985041</v>
      </c>
      <c r="H22">
        <v>-60.860794745292182</v>
      </c>
      <c r="I22" t="str">
        <f t="shared" si="0"/>
        <v>***</v>
      </c>
      <c r="J22">
        <v>-38.692837517844339</v>
      </c>
      <c r="K22">
        <v>132.39024332272623</v>
      </c>
      <c r="L22">
        <v>-0.29226351237623482</v>
      </c>
      <c r="M22" t="str">
        <f t="shared" si="1"/>
        <v/>
      </c>
      <c r="N22">
        <v>-2.399069876218578</v>
      </c>
      <c r="O22">
        <v>0.61457809768783556</v>
      </c>
      <c r="P22">
        <v>-3.9036045788881091</v>
      </c>
      <c r="Q22" t="str">
        <f t="shared" si="2"/>
        <v>***</v>
      </c>
      <c r="R22">
        <v>-2.1576908707137581</v>
      </c>
      <c r="S22">
        <v>0.7599347758742282</v>
      </c>
      <c r="T22">
        <v>-56.786212164894081</v>
      </c>
      <c r="U22" t="str">
        <f t="shared" si="3"/>
        <v>***</v>
      </c>
    </row>
    <row r="23" spans="1:21" x14ac:dyDescent="0.25">
      <c r="C23" t="s">
        <v>74</v>
      </c>
      <c r="F23">
        <v>6.8884444889209817</v>
      </c>
      <c r="G23">
        <v>1.684607034686868</v>
      </c>
      <c r="H23">
        <v>81.78102485724682</v>
      </c>
      <c r="I23" t="str">
        <f t="shared" si="0"/>
        <v>***</v>
      </c>
      <c r="J23">
        <v>54.822124942762599</v>
      </c>
      <c r="K23">
        <v>186.48419139888429</v>
      </c>
      <c r="L23">
        <v>0.29397733143770699</v>
      </c>
      <c r="M23" t="str">
        <f t="shared" si="1"/>
        <v/>
      </c>
      <c r="N23">
        <v>-4.5941318643550062</v>
      </c>
      <c r="O23">
        <v>0.87085059844349988</v>
      </c>
      <c r="P23">
        <v>-5.2754535307965007</v>
      </c>
      <c r="Q23" t="str">
        <f t="shared" si="2"/>
        <v>***</v>
      </c>
      <c r="R23">
        <v>-1.9092108396274954</v>
      </c>
      <c r="S23">
        <v>0.59490785861493134</v>
      </c>
      <c r="T23">
        <v>-64.185093942868164</v>
      </c>
      <c r="U23" t="str">
        <f t="shared" si="3"/>
        <v>***</v>
      </c>
    </row>
    <row r="24" spans="1:21" x14ac:dyDescent="0.25">
      <c r="B24" t="s">
        <v>33</v>
      </c>
      <c r="C24" t="s">
        <v>75</v>
      </c>
      <c r="F24">
        <v>-7.1657870257945353</v>
      </c>
      <c r="G24">
        <v>1.5746061804025473</v>
      </c>
      <c r="H24">
        <v>-91.016879204203377</v>
      </c>
      <c r="I24" t="str">
        <f t="shared" si="0"/>
        <v>***</v>
      </c>
      <c r="J24">
        <v>-22.592353286884421</v>
      </c>
      <c r="K24">
        <v>78.994572650412223</v>
      </c>
      <c r="L24">
        <v>-0.28599880382752513</v>
      </c>
      <c r="M24" t="str">
        <f t="shared" si="1"/>
        <v/>
      </c>
      <c r="N24">
        <v>-3.39484798298336</v>
      </c>
      <c r="O24">
        <v>0.69742320410343184</v>
      </c>
      <c r="P24">
        <v>-4.8677015089390192</v>
      </c>
      <c r="Q24" t="str">
        <f t="shared" si="2"/>
        <v>***</v>
      </c>
      <c r="R24">
        <v>-3.4070680826160382</v>
      </c>
      <c r="S24">
        <v>0.96544699777104792</v>
      </c>
      <c r="T24">
        <v>-70.580116577751483</v>
      </c>
      <c r="U24" t="str">
        <f t="shared" si="3"/>
        <v>***</v>
      </c>
    </row>
    <row r="25" spans="1:21" x14ac:dyDescent="0.25">
      <c r="C25" t="s">
        <v>76</v>
      </c>
      <c r="F25">
        <v>11.142756925297839</v>
      </c>
      <c r="G25">
        <v>2.433568841434298</v>
      </c>
      <c r="H25">
        <v>91.575440444335356</v>
      </c>
      <c r="I25" t="str">
        <f t="shared" si="0"/>
        <v>***</v>
      </c>
      <c r="J25">
        <v>96.507094897894561</v>
      </c>
      <c r="K25">
        <v>330.59945687399056</v>
      </c>
      <c r="L25">
        <v>0.29191546716508571</v>
      </c>
      <c r="M25" t="str">
        <f t="shared" si="1"/>
        <v/>
      </c>
      <c r="N25">
        <v>-5.9060879537797994</v>
      </c>
      <c r="O25">
        <v>0.94993037572292982</v>
      </c>
      <c r="P25">
        <v>-6.2173903527246006</v>
      </c>
      <c r="Q25" t="str">
        <f t="shared" si="2"/>
        <v>***</v>
      </c>
      <c r="R25">
        <v>-6.5888410182026362</v>
      </c>
      <c r="S25">
        <v>1.570021275333159</v>
      </c>
      <c r="T25">
        <v>-83.933143094567058</v>
      </c>
      <c r="U25" t="str">
        <f t="shared" si="3"/>
        <v>***</v>
      </c>
    </row>
    <row r="26" spans="1:21" x14ac:dyDescent="0.25">
      <c r="C26" t="s">
        <v>77</v>
      </c>
      <c r="F26">
        <v>18.890015137702761</v>
      </c>
      <c r="G26">
        <v>4.4499955706492598</v>
      </c>
      <c r="H26">
        <v>84.899028944186938</v>
      </c>
      <c r="I26" t="str">
        <f t="shared" si="0"/>
        <v>***</v>
      </c>
      <c r="J26">
        <v>135.51456438324041</v>
      </c>
      <c r="K26">
        <v>73.510005416984782</v>
      </c>
      <c r="L26">
        <v>1.8434846197403389</v>
      </c>
      <c r="M26" t="str">
        <f t="shared" si="1"/>
        <v>*</v>
      </c>
      <c r="N26">
        <v>20.28119625051124</v>
      </c>
      <c r="O26">
        <v>2.862227233458662</v>
      </c>
      <c r="P26">
        <v>7.085809265396378</v>
      </c>
      <c r="Q26" t="str">
        <f t="shared" si="2"/>
        <v>***</v>
      </c>
      <c r="R26">
        <v>13.738034145926658</v>
      </c>
      <c r="S26">
        <v>1.5516924936825478</v>
      </c>
      <c r="T26">
        <v>177.07160667282636</v>
      </c>
      <c r="U26" t="str">
        <f t="shared" si="3"/>
        <v>***</v>
      </c>
    </row>
    <row r="27" spans="1:21" x14ac:dyDescent="0.25">
      <c r="B27" t="s">
        <v>52</v>
      </c>
      <c r="C27" t="s">
        <v>78</v>
      </c>
      <c r="F27">
        <v>22.177490782335482</v>
      </c>
      <c r="G27">
        <v>4.8768926652505105</v>
      </c>
      <c r="H27">
        <v>90.949267513544058</v>
      </c>
      <c r="I27" t="str">
        <f t="shared" si="0"/>
        <v>***</v>
      </c>
      <c r="J27">
        <v>-7.7237996714921042</v>
      </c>
      <c r="K27">
        <v>4.9233882927726604</v>
      </c>
      <c r="L27">
        <v>-1.5687975865788071</v>
      </c>
      <c r="M27" t="str">
        <f t="shared" si="1"/>
        <v/>
      </c>
      <c r="N27">
        <v>17.132968840763738</v>
      </c>
      <c r="O27">
        <v>2.4778713484548023</v>
      </c>
      <c r="P27">
        <v>6.9143899869732266</v>
      </c>
      <c r="Q27" t="str">
        <f t="shared" si="2"/>
        <v>***</v>
      </c>
      <c r="R27">
        <v>13.487233829226478</v>
      </c>
      <c r="S27">
        <v>1.5913518272905929</v>
      </c>
      <c r="T27">
        <v>169.50662446769672</v>
      </c>
      <c r="U27" t="str">
        <f t="shared" si="3"/>
        <v>***</v>
      </c>
    </row>
    <row r="28" spans="1:21" x14ac:dyDescent="0.25">
      <c r="B28" t="s">
        <v>53</v>
      </c>
      <c r="C28" t="s">
        <v>79</v>
      </c>
      <c r="F28">
        <v>-35.902516875750841</v>
      </c>
      <c r="G28">
        <v>9.757629051973689</v>
      </c>
      <c r="H28">
        <v>-73.588607815520078</v>
      </c>
      <c r="I28" t="str">
        <f t="shared" si="0"/>
        <v>***</v>
      </c>
      <c r="J28">
        <v>-21.304393662748019</v>
      </c>
      <c r="K28">
        <v>18.096615823439944</v>
      </c>
      <c r="L28">
        <v>-1.177258437190956</v>
      </c>
      <c r="M28" t="str">
        <f t="shared" si="1"/>
        <v/>
      </c>
      <c r="N28">
        <v>-11.333175390375732</v>
      </c>
      <c r="O28">
        <v>2.7765359279880282</v>
      </c>
      <c r="P28">
        <v>-4.0817679599010743</v>
      </c>
      <c r="Q28" t="str">
        <f t="shared" si="2"/>
        <v>***</v>
      </c>
      <c r="R28">
        <v>-10.259518713682098</v>
      </c>
      <c r="S28">
        <v>2.7858484667341701</v>
      </c>
      <c r="T28">
        <v>-73.654535314401045</v>
      </c>
      <c r="U28" t="str">
        <f t="shared" si="3"/>
        <v>***</v>
      </c>
    </row>
    <row r="29" spans="1:21" x14ac:dyDescent="0.25">
      <c r="B29" t="s">
        <v>54</v>
      </c>
      <c r="F29">
        <v>-38.363081119544582</v>
      </c>
      <c r="G29">
        <v>11.500168870526629</v>
      </c>
      <c r="H29">
        <v>-66.717422242144565</v>
      </c>
      <c r="I29" t="str">
        <f t="shared" si="0"/>
        <v>***</v>
      </c>
      <c r="J29">
        <v>18.574903683549032</v>
      </c>
      <c r="K29">
        <v>15.908642508232532</v>
      </c>
      <c r="L29">
        <v>1.167598283381925</v>
      </c>
      <c r="M29" t="str">
        <f t="shared" si="1"/>
        <v/>
      </c>
      <c r="N29">
        <v>-8.6827017798246597</v>
      </c>
      <c r="O29">
        <v>2.6649826462956261</v>
      </c>
      <c r="P29">
        <v>-3.2580706639473882</v>
      </c>
      <c r="Q29" t="str">
        <f t="shared" si="2"/>
        <v>***</v>
      </c>
      <c r="R29">
        <v>-0.62162160498865138</v>
      </c>
      <c r="S29">
        <v>2.278271565934106</v>
      </c>
      <c r="T29">
        <v>-5.4569579349842119</v>
      </c>
      <c r="U29" t="str">
        <f t="shared" si="3"/>
        <v>***</v>
      </c>
    </row>
    <row r="30" spans="1:21" x14ac:dyDescent="0.25">
      <c r="F30">
        <v>-2.460564243793752</v>
      </c>
      <c r="G30">
        <v>3.1491931879567399</v>
      </c>
      <c r="H30">
        <v>-15.626632581345167</v>
      </c>
      <c r="I30" t="str">
        <f t="shared" si="0"/>
        <v>***</v>
      </c>
      <c r="J30">
        <v>39.879297346297058</v>
      </c>
      <c r="K30">
        <v>32.934491529357942</v>
      </c>
      <c r="L30">
        <v>1.2108672547972541</v>
      </c>
      <c r="M30" t="str">
        <f t="shared" si="1"/>
        <v/>
      </c>
      <c r="N30">
        <v>2.6504736105510718</v>
      </c>
      <c r="O30">
        <v>1.1505546100368078</v>
      </c>
      <c r="P30">
        <v>2.3036486816269242</v>
      </c>
      <c r="Q30" t="str">
        <f t="shared" si="2"/>
        <v>**</v>
      </c>
      <c r="R30">
        <v>9.6378971086934477</v>
      </c>
      <c r="S30">
        <v>2.1739561092698483</v>
      </c>
      <c r="T30">
        <v>88.666896885332832</v>
      </c>
      <c r="U30" t="str">
        <f t="shared" si="3"/>
        <v>***</v>
      </c>
    </row>
    <row r="31" spans="1:21" x14ac:dyDescent="0.25">
      <c r="A31" s="2" t="s">
        <v>111</v>
      </c>
    </row>
    <row r="32" spans="1:21" x14ac:dyDescent="0.25">
      <c r="A32" s="2"/>
      <c r="B32" s="4" t="s">
        <v>13</v>
      </c>
      <c r="C32" t="s">
        <v>57</v>
      </c>
      <c r="F32">
        <v>-0.34348104680374081</v>
      </c>
      <c r="G32">
        <v>1.3394185661195188</v>
      </c>
      <c r="H32">
        <v>-5.1288082081593522</v>
      </c>
      <c r="I32" t="str">
        <f>IF(ABS(H32)&gt;2.576,"***",IF(ABS(H32)&gt;1.96,"**",IF(ABS(H32)&gt;1.645,"*","")))</f>
        <v>***</v>
      </c>
      <c r="J32" s="10" t="s">
        <v>83</v>
      </c>
      <c r="K32" s="10"/>
      <c r="N32">
        <v>-14.48179046650562</v>
      </c>
      <c r="O32">
        <v>1.836310178475534</v>
      </c>
      <c r="P32">
        <v>-7.886353098869221</v>
      </c>
      <c r="Q32" t="str">
        <f>IF(ABS(P32)&gt;2.576,"***",IF(ABS(P32)&gt;1.96,"**",IF(ABS(P32)&gt;1.645,"*","")))</f>
        <v>***</v>
      </c>
    </row>
    <row r="33" spans="1:17" x14ac:dyDescent="0.25">
      <c r="A33" s="2"/>
      <c r="C33" t="s">
        <v>58</v>
      </c>
      <c r="F33">
        <v>22.04599772210458</v>
      </c>
      <c r="G33">
        <v>2.9838687891554261</v>
      </c>
      <c r="H33">
        <v>147.76787640414054</v>
      </c>
      <c r="I33" t="str">
        <f t="shared" ref="I33:I58" si="4">IF(ABS(H33)&gt;2.576,"***",IF(ABS(H33)&gt;1.96,"**",IF(ABS(H33)&gt;1.645,"*","")))</f>
        <v>***</v>
      </c>
      <c r="N33">
        <v>-11.241964415664235</v>
      </c>
      <c r="O33">
        <v>1.5692678937911266</v>
      </c>
      <c r="P33">
        <v>-7.1638274510958464</v>
      </c>
      <c r="Q33" t="str">
        <f t="shared" ref="Q33:Q58" si="5">IF(ABS(P33)&gt;2.576,"***",IF(ABS(P33)&gt;1.96,"**",IF(ABS(P33)&gt;1.645,"*","")))</f>
        <v>***</v>
      </c>
    </row>
    <row r="34" spans="1:17" x14ac:dyDescent="0.25">
      <c r="A34" s="2"/>
      <c r="B34" s="4" t="s">
        <v>15</v>
      </c>
      <c r="C34" t="s">
        <v>59</v>
      </c>
      <c r="F34">
        <v>2.6223503966819801</v>
      </c>
      <c r="G34">
        <v>1.6944554399891461</v>
      </c>
      <c r="H34">
        <v>30.952131697234581</v>
      </c>
      <c r="I34" t="str">
        <f t="shared" si="4"/>
        <v>***</v>
      </c>
      <c r="N34">
        <v>-20.498163258273618</v>
      </c>
      <c r="O34">
        <v>2.5679746068236158</v>
      </c>
      <c r="P34">
        <v>-7.9822297322590128</v>
      </c>
      <c r="Q34" t="str">
        <f t="shared" si="5"/>
        <v>***</v>
      </c>
    </row>
    <row r="35" spans="1:17" x14ac:dyDescent="0.25">
      <c r="A35" s="2"/>
      <c r="C35" t="s">
        <v>60</v>
      </c>
      <c r="F35">
        <v>33.242255262344479</v>
      </c>
      <c r="G35">
        <v>4.3821861881621142</v>
      </c>
      <c r="H35">
        <v>151.7153942575236</v>
      </c>
      <c r="I35" t="str">
        <f t="shared" si="4"/>
        <v>***</v>
      </c>
      <c r="N35">
        <v>16.411131355475757</v>
      </c>
      <c r="O35">
        <v>2.2083797704559642</v>
      </c>
      <c r="P35">
        <v>7.4312994418017846</v>
      </c>
      <c r="Q35" t="str">
        <f t="shared" si="5"/>
        <v>***</v>
      </c>
    </row>
    <row r="36" spans="1:17" x14ac:dyDescent="0.25">
      <c r="A36" s="2"/>
      <c r="B36" s="4" t="s">
        <v>17</v>
      </c>
      <c r="C36" t="s">
        <v>61</v>
      </c>
      <c r="F36">
        <v>-54.590483380341901</v>
      </c>
      <c r="G36">
        <v>6.8127239746844035</v>
      </c>
      <c r="H36">
        <v>-160.26037039867234</v>
      </c>
      <c r="I36" t="str">
        <f t="shared" si="4"/>
        <v>***</v>
      </c>
      <c r="N36">
        <v>-31.280119630791859</v>
      </c>
      <c r="O36">
        <v>3.9014368441129097</v>
      </c>
      <c r="P36">
        <v>-8.0175896421320054</v>
      </c>
      <c r="Q36" t="str">
        <f t="shared" si="5"/>
        <v>***</v>
      </c>
    </row>
    <row r="37" spans="1:17" x14ac:dyDescent="0.25">
      <c r="A37" s="2"/>
      <c r="C37" t="s">
        <v>62</v>
      </c>
      <c r="F37">
        <v>34.44752749958198</v>
      </c>
      <c r="G37">
        <v>4.4160654074076042</v>
      </c>
      <c r="H37">
        <v>156.01004206957154</v>
      </c>
      <c r="I37" t="str">
        <f t="shared" si="4"/>
        <v>***</v>
      </c>
      <c r="N37">
        <v>13.234777110899332</v>
      </c>
      <c r="O37">
        <v>2.037391624444564</v>
      </c>
      <c r="P37">
        <v>6.4959416501515346</v>
      </c>
      <c r="Q37" t="str">
        <f t="shared" si="5"/>
        <v>***</v>
      </c>
    </row>
    <row r="38" spans="1:17" x14ac:dyDescent="0.25">
      <c r="A38" s="2"/>
      <c r="C38" t="s">
        <v>48</v>
      </c>
      <c r="F38">
        <v>22.038873285752221</v>
      </c>
      <c r="G38">
        <v>2.832392103138778</v>
      </c>
      <c r="H38">
        <v>155.62021417394408</v>
      </c>
      <c r="I38" t="str">
        <f t="shared" si="4"/>
        <v>***</v>
      </c>
      <c r="N38">
        <v>30.45993009239778</v>
      </c>
      <c r="O38">
        <v>2.9423000874081762</v>
      </c>
      <c r="P38">
        <v>10.35242129881776</v>
      </c>
      <c r="Q38" t="str">
        <f t="shared" si="5"/>
        <v>***</v>
      </c>
    </row>
    <row r="39" spans="1:17" x14ac:dyDescent="0.25">
      <c r="A39" s="2"/>
      <c r="C39" t="s">
        <v>49</v>
      </c>
      <c r="F39">
        <v>10.472699393567137</v>
      </c>
      <c r="G39">
        <v>1.4128008708963256</v>
      </c>
      <c r="H39">
        <v>148.25443003758804</v>
      </c>
      <c r="I39" t="str">
        <f t="shared" si="4"/>
        <v>***</v>
      </c>
      <c r="N39">
        <v>-12.533291517851792</v>
      </c>
      <c r="O39">
        <v>1.7072789091077682</v>
      </c>
      <c r="P39">
        <v>-7.3410919861955932</v>
      </c>
      <c r="Q39" t="str">
        <f t="shared" si="5"/>
        <v>***</v>
      </c>
    </row>
    <row r="40" spans="1:17" x14ac:dyDescent="0.25">
      <c r="B40" t="s">
        <v>21</v>
      </c>
      <c r="C40" t="s">
        <v>63</v>
      </c>
      <c r="F40">
        <v>5.9990215668416056</v>
      </c>
      <c r="G40">
        <v>1.1297807720604767</v>
      </c>
      <c r="H40">
        <v>106.19797601796115</v>
      </c>
      <c r="I40" t="str">
        <f t="shared" si="4"/>
        <v>***</v>
      </c>
      <c r="N40">
        <v>1.2981968659309504</v>
      </c>
      <c r="O40">
        <v>0.64287984196726766</v>
      </c>
      <c r="P40">
        <v>2.0193460444464342</v>
      </c>
      <c r="Q40" t="str">
        <f t="shared" si="5"/>
        <v>**</v>
      </c>
    </row>
    <row r="41" spans="1:17" x14ac:dyDescent="0.25">
      <c r="C41" t="s">
        <v>64</v>
      </c>
      <c r="F41">
        <v>3.6405800784287861</v>
      </c>
      <c r="G41">
        <v>1.2292268159646074</v>
      </c>
      <c r="H41">
        <v>59.233658607942523</v>
      </c>
      <c r="I41" t="str">
        <f t="shared" si="4"/>
        <v>***</v>
      </c>
      <c r="N41">
        <v>-3.5081645548507803</v>
      </c>
      <c r="O41">
        <v>0.96100985693561725</v>
      </c>
      <c r="P41">
        <v>-3.6504979938887452</v>
      </c>
      <c r="Q41" t="str">
        <f t="shared" si="5"/>
        <v>***</v>
      </c>
    </row>
    <row r="42" spans="1:17" x14ac:dyDescent="0.25">
      <c r="B42" t="s">
        <v>23</v>
      </c>
      <c r="C42" t="s">
        <v>65</v>
      </c>
      <c r="F42">
        <v>6.7587250468514384</v>
      </c>
      <c r="G42">
        <v>1.2019431005572541</v>
      </c>
      <c r="H42">
        <v>112.46331117867237</v>
      </c>
      <c r="I42" t="str">
        <f t="shared" si="4"/>
        <v>***</v>
      </c>
      <c r="N42">
        <v>5.5690466689923337</v>
      </c>
      <c r="O42">
        <v>0.98892065610732216</v>
      </c>
      <c r="P42">
        <v>5.6314393218498564</v>
      </c>
      <c r="Q42" t="str">
        <f t="shared" si="5"/>
        <v>***</v>
      </c>
    </row>
    <row r="43" spans="1:17" x14ac:dyDescent="0.25">
      <c r="C43" t="s">
        <v>66</v>
      </c>
      <c r="F43">
        <v>8.0032315054638143</v>
      </c>
      <c r="G43">
        <v>1.175026487379607</v>
      </c>
      <c r="H43">
        <v>136.22214633325572</v>
      </c>
      <c r="I43" t="str">
        <f t="shared" si="4"/>
        <v>***</v>
      </c>
      <c r="N43">
        <v>-7.0268686618776943</v>
      </c>
      <c r="O43">
        <v>1.0398656287619337</v>
      </c>
      <c r="P43">
        <v>-6.7574775697162917</v>
      </c>
      <c r="Q43" t="str">
        <f t="shared" si="5"/>
        <v>***</v>
      </c>
    </row>
    <row r="44" spans="1:17" x14ac:dyDescent="0.25">
      <c r="B44" t="s">
        <v>25</v>
      </c>
      <c r="C44" t="s">
        <v>67</v>
      </c>
      <c r="F44">
        <v>6.3136695705140351</v>
      </c>
      <c r="G44">
        <v>1.1459628338697778</v>
      </c>
      <c r="H44">
        <v>110.18977900345227</v>
      </c>
      <c r="I44" t="str">
        <f t="shared" si="4"/>
        <v>***</v>
      </c>
      <c r="N44">
        <v>3.51674933884077</v>
      </c>
      <c r="O44">
        <v>0.71696642595430904</v>
      </c>
      <c r="P44">
        <v>4.9050404754446424</v>
      </c>
      <c r="Q44" t="str">
        <f t="shared" si="5"/>
        <v>***</v>
      </c>
    </row>
    <row r="45" spans="1:17" x14ac:dyDescent="0.25">
      <c r="C45" t="s">
        <v>68</v>
      </c>
      <c r="F45">
        <v>-1.936543341083534</v>
      </c>
      <c r="G45">
        <v>1.3811110673195415</v>
      </c>
      <c r="H45">
        <v>-28.043267292643961</v>
      </c>
      <c r="I45" t="str">
        <f t="shared" si="4"/>
        <v>***</v>
      </c>
      <c r="N45">
        <v>4.1056550747818159</v>
      </c>
      <c r="O45">
        <v>0.99828368836987036</v>
      </c>
      <c r="P45">
        <v>4.1127137732622607</v>
      </c>
      <c r="Q45" t="str">
        <f t="shared" si="5"/>
        <v>***</v>
      </c>
    </row>
    <row r="46" spans="1:17" x14ac:dyDescent="0.25">
      <c r="B46" t="s">
        <v>27</v>
      </c>
      <c r="C46" t="s">
        <v>69</v>
      </c>
      <c r="F46">
        <v>3.8088134425945341</v>
      </c>
      <c r="G46">
        <v>0.83739757734014442</v>
      </c>
      <c r="H46">
        <v>90.967863907430996</v>
      </c>
      <c r="I46" t="str">
        <f t="shared" si="4"/>
        <v>***</v>
      </c>
      <c r="N46">
        <v>2.8356227911217964</v>
      </c>
      <c r="O46">
        <v>0.60826907028557597</v>
      </c>
      <c r="P46">
        <v>4.6617902004954841</v>
      </c>
      <c r="Q46" t="str">
        <f t="shared" si="5"/>
        <v>***</v>
      </c>
    </row>
    <row r="47" spans="1:17" x14ac:dyDescent="0.25">
      <c r="C47" t="s">
        <v>70</v>
      </c>
      <c r="F47">
        <v>5.0253797020966484</v>
      </c>
      <c r="G47">
        <v>1.1164832609264346</v>
      </c>
      <c r="H47">
        <v>90.021586135141746</v>
      </c>
      <c r="I47" t="str">
        <f t="shared" si="4"/>
        <v>***</v>
      </c>
      <c r="N47">
        <v>-4.6892391524904884</v>
      </c>
      <c r="O47">
        <v>0.81016004185619817</v>
      </c>
      <c r="P47">
        <v>-5.7880405231375489</v>
      </c>
      <c r="Q47" t="str">
        <f t="shared" si="5"/>
        <v>***</v>
      </c>
    </row>
    <row r="48" spans="1:17" x14ac:dyDescent="0.25">
      <c r="B48" t="s">
        <v>29</v>
      </c>
      <c r="C48" t="s">
        <v>71</v>
      </c>
      <c r="F48">
        <v>0.94218663276460579</v>
      </c>
      <c r="G48">
        <v>0.62654186441653037</v>
      </c>
      <c r="H48">
        <v>30.075775818812058</v>
      </c>
      <c r="I48" t="str">
        <f t="shared" si="4"/>
        <v>***</v>
      </c>
      <c r="N48">
        <v>0.39336859291736181</v>
      </c>
      <c r="O48">
        <v>0.44663787193774596</v>
      </c>
      <c r="P48">
        <v>0.88073273144242203</v>
      </c>
      <c r="Q48" t="str">
        <f t="shared" si="5"/>
        <v/>
      </c>
    </row>
    <row r="49" spans="2:34" x14ac:dyDescent="0.25">
      <c r="C49" t="s">
        <v>72</v>
      </c>
      <c r="F49">
        <v>9.8652981590294772E-2</v>
      </c>
      <c r="G49">
        <v>1.0642681540890655</v>
      </c>
      <c r="H49">
        <v>1.8539121218887615</v>
      </c>
      <c r="I49" t="str">
        <f t="shared" si="4"/>
        <v>*</v>
      </c>
      <c r="N49">
        <v>2.6423900725431282</v>
      </c>
      <c r="O49">
        <v>0.80320294200337705</v>
      </c>
      <c r="P49">
        <v>3.289816227456023</v>
      </c>
      <c r="Q49" t="str">
        <f t="shared" si="5"/>
        <v>***</v>
      </c>
    </row>
    <row r="50" spans="2:34" x14ac:dyDescent="0.25">
      <c r="B50" t="s">
        <v>31</v>
      </c>
      <c r="C50" t="s">
        <v>73</v>
      </c>
      <c r="F50">
        <v>5.936072769306828E-3</v>
      </c>
      <c r="G50">
        <v>0.59141588074858664</v>
      </c>
      <c r="H50">
        <v>0.20074106775060638</v>
      </c>
      <c r="I50" t="str">
        <f t="shared" si="4"/>
        <v/>
      </c>
      <c r="N50">
        <v>-0.62042920246095923</v>
      </c>
      <c r="O50">
        <v>0.466677666209529</v>
      </c>
      <c r="P50">
        <v>-1.3294598121659389</v>
      </c>
      <c r="Q50" t="str">
        <f t="shared" si="5"/>
        <v/>
      </c>
    </row>
    <row r="51" spans="2:34" x14ac:dyDescent="0.25">
      <c r="C51" t="s">
        <v>74</v>
      </c>
      <c r="F51">
        <v>-5.8072281722585899</v>
      </c>
      <c r="G51">
        <v>1.1207990939412258</v>
      </c>
      <c r="H51">
        <v>-103.62656793088235</v>
      </c>
      <c r="I51" t="str">
        <f t="shared" si="4"/>
        <v>***</v>
      </c>
      <c r="N51">
        <v>3.4748088376992321</v>
      </c>
      <c r="O51">
        <v>0.71786875395696736</v>
      </c>
      <c r="P51">
        <v>4.8404514314708962</v>
      </c>
      <c r="Q51" t="str">
        <f t="shared" si="5"/>
        <v>***</v>
      </c>
    </row>
    <row r="52" spans="2:34" x14ac:dyDescent="0.25">
      <c r="B52" t="s">
        <v>33</v>
      </c>
      <c r="C52" t="s">
        <v>75</v>
      </c>
      <c r="F52">
        <v>0.82957531869123124</v>
      </c>
      <c r="G52">
        <v>0.59401182138382824</v>
      </c>
      <c r="H52">
        <v>27.931273042971682</v>
      </c>
      <c r="I52" t="str">
        <f t="shared" si="4"/>
        <v>***</v>
      </c>
      <c r="N52">
        <v>-0.15139812692569807</v>
      </c>
      <c r="O52">
        <v>0.44903404697932126</v>
      </c>
      <c r="P52">
        <v>-0.33716402563271602</v>
      </c>
      <c r="Q52" t="str">
        <f t="shared" si="5"/>
        <v/>
      </c>
    </row>
    <row r="53" spans="2:34" x14ac:dyDescent="0.25">
      <c r="C53" t="s">
        <v>76</v>
      </c>
      <c r="F53">
        <v>-8.7055324865388997</v>
      </c>
      <c r="G53">
        <v>1.1920361985599697</v>
      </c>
      <c r="H53">
        <v>-146.06154573251303</v>
      </c>
      <c r="I53" t="str">
        <f t="shared" si="4"/>
        <v>***</v>
      </c>
      <c r="N53">
        <v>-4.3492496925138715</v>
      </c>
      <c r="O53">
        <v>0.69540278382460197</v>
      </c>
      <c r="P53">
        <v>-6.254288584514585</v>
      </c>
      <c r="Q53" t="str">
        <f t="shared" si="5"/>
        <v>***</v>
      </c>
    </row>
    <row r="54" spans="2:34" x14ac:dyDescent="0.25">
      <c r="C54" t="s">
        <v>77</v>
      </c>
      <c r="F54">
        <v>17.352903256811217</v>
      </c>
      <c r="G54">
        <v>1.6808953164724172</v>
      </c>
      <c r="H54">
        <v>206.47214715582157</v>
      </c>
      <c r="I54" t="str">
        <f t="shared" si="4"/>
        <v>***</v>
      </c>
      <c r="N54">
        <v>15.477222657293524</v>
      </c>
      <c r="O54">
        <v>1.8926613313980414</v>
      </c>
      <c r="P54">
        <v>8.1774918737633069</v>
      </c>
      <c r="Q54" t="str">
        <f t="shared" si="5"/>
        <v>***</v>
      </c>
    </row>
    <row r="55" spans="2:34" x14ac:dyDescent="0.25">
      <c r="B55" t="s">
        <v>52</v>
      </c>
      <c r="C55" t="s">
        <v>78</v>
      </c>
      <c r="F55">
        <v>20.749683186098999</v>
      </c>
      <c r="G55">
        <v>2.007285475306384</v>
      </c>
      <c r="H55">
        <v>206.7437187322034</v>
      </c>
      <c r="I55" t="str">
        <f t="shared" si="4"/>
        <v>***</v>
      </c>
      <c r="N55">
        <v>16.26448710829499</v>
      </c>
      <c r="O55">
        <v>1.9945399030245299</v>
      </c>
      <c r="P55">
        <v>8.1545057502391618</v>
      </c>
      <c r="Q55" t="str">
        <f t="shared" si="5"/>
        <v>***</v>
      </c>
    </row>
    <row r="56" spans="2:34" x14ac:dyDescent="0.25">
      <c r="B56" t="s">
        <v>53</v>
      </c>
      <c r="C56" t="s">
        <v>79</v>
      </c>
      <c r="F56">
        <v>-54.247002333538163</v>
      </c>
      <c r="G56">
        <v>10.500383506031101</v>
      </c>
      <c r="H56">
        <v>-103.32384965250141</v>
      </c>
      <c r="I56" t="str">
        <f t="shared" si="4"/>
        <v>***</v>
      </c>
      <c r="N56">
        <v>-16.798329164286233</v>
      </c>
      <c r="O56">
        <v>3.089717359486142</v>
      </c>
      <c r="P56">
        <v>-5.4368497858587306</v>
      </c>
      <c r="Q56" t="str">
        <f t="shared" si="5"/>
        <v>***</v>
      </c>
    </row>
    <row r="57" spans="2:34" x14ac:dyDescent="0.25">
      <c r="B57" t="s">
        <v>54</v>
      </c>
      <c r="F57">
        <v>-57.212833777023882</v>
      </c>
      <c r="G57">
        <v>10.714550725157023</v>
      </c>
      <c r="H57">
        <v>-106.79464822111879</v>
      </c>
      <c r="I57" t="str">
        <f t="shared" si="4"/>
        <v>***</v>
      </c>
      <c r="N57">
        <v>-10.781956372518238</v>
      </c>
      <c r="O57">
        <v>2.3798112647547782</v>
      </c>
      <c r="P57">
        <v>-4.5305930483647989</v>
      </c>
      <c r="Q57" t="str">
        <f t="shared" si="5"/>
        <v>***</v>
      </c>
    </row>
    <row r="58" spans="2:34" x14ac:dyDescent="0.25">
      <c r="B58" t="s">
        <v>54</v>
      </c>
      <c r="F58">
        <v>-2.9658314434857203</v>
      </c>
      <c r="G58">
        <v>3.1577541149557358</v>
      </c>
      <c r="H58">
        <v>-18.784435617953712</v>
      </c>
      <c r="I58" t="str">
        <f t="shared" si="4"/>
        <v>***</v>
      </c>
      <c r="N58">
        <v>6.0163727917679939</v>
      </c>
      <c r="O58">
        <v>1.4349893873966189</v>
      </c>
      <c r="P58">
        <v>4.19262528671588</v>
      </c>
      <c r="Q58" t="str">
        <f t="shared" si="5"/>
        <v>***</v>
      </c>
    </row>
    <row r="59" spans="2:34" ht="15.75" thickBot="1" x14ac:dyDescent="0.3"/>
    <row r="60" spans="2:34" x14ac:dyDescent="0.25">
      <c r="E60" s="24" t="s">
        <v>108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4"/>
    </row>
    <row r="61" spans="2:34" x14ac:dyDescent="0.25">
      <c r="E61" s="15"/>
      <c r="G61" t="s">
        <v>85</v>
      </c>
      <c r="H61" t="s">
        <v>85</v>
      </c>
      <c r="I61" t="s">
        <v>86</v>
      </c>
      <c r="J61" t="s">
        <v>85</v>
      </c>
      <c r="K61" t="s">
        <v>5</v>
      </c>
      <c r="L61" t="s">
        <v>5</v>
      </c>
      <c r="M61" t="s">
        <v>5</v>
      </c>
      <c r="N61" t="s">
        <v>5</v>
      </c>
      <c r="O61" t="s">
        <v>87</v>
      </c>
      <c r="P61" t="s">
        <v>87</v>
      </c>
      <c r="Q61" t="s">
        <v>87</v>
      </c>
      <c r="R61" t="s">
        <v>87</v>
      </c>
      <c r="AH61" s="16"/>
    </row>
    <row r="62" spans="2:34" x14ac:dyDescent="0.25">
      <c r="E62" s="15" t="s">
        <v>88</v>
      </c>
      <c r="F62" t="s">
        <v>89</v>
      </c>
      <c r="G62" t="s">
        <v>90</v>
      </c>
      <c r="H62" t="s">
        <v>91</v>
      </c>
      <c r="I62" t="s">
        <v>92</v>
      </c>
      <c r="J62" t="s">
        <v>81</v>
      </c>
      <c r="K62" t="s">
        <v>90</v>
      </c>
      <c r="L62" t="s">
        <v>91</v>
      </c>
      <c r="M62" t="s">
        <v>92</v>
      </c>
      <c r="N62" t="s">
        <v>81</v>
      </c>
      <c r="O62" t="s">
        <v>90</v>
      </c>
      <c r="P62" t="s">
        <v>91</v>
      </c>
      <c r="Q62" t="s">
        <v>92</v>
      </c>
      <c r="R62" t="s">
        <v>81</v>
      </c>
      <c r="W62" s="17" t="s">
        <v>93</v>
      </c>
      <c r="AH62" s="16"/>
    </row>
    <row r="63" spans="2:34" x14ac:dyDescent="0.25">
      <c r="E63" s="15">
        <v>1</v>
      </c>
      <c r="F63" s="4" t="s">
        <v>94</v>
      </c>
      <c r="G63" s="19">
        <f>F4</f>
        <v>-6.4470886710630708</v>
      </c>
      <c r="H63" s="19">
        <v>0</v>
      </c>
      <c r="I63" s="19">
        <f>N4</f>
        <v>-12.479546193618187</v>
      </c>
      <c r="J63" s="19">
        <f>R4</f>
        <v>-19.48501237513468</v>
      </c>
      <c r="K63" s="19">
        <f>G4</f>
        <v>1.822453366850584</v>
      </c>
      <c r="L63" s="19">
        <v>0</v>
      </c>
      <c r="M63" s="19">
        <f>O4</f>
        <v>1.7797135264764918</v>
      </c>
      <c r="N63" s="19">
        <f>S4</f>
        <v>3.7326769477208401</v>
      </c>
      <c r="O63" s="19">
        <f>F5</f>
        <v>-19.762246576679644</v>
      </c>
      <c r="P63" s="19">
        <v>0</v>
      </c>
      <c r="Q63" s="19">
        <f>N5</f>
        <v>-12.345930218803346</v>
      </c>
      <c r="R63" s="19">
        <f>R5</f>
        <v>-56.896945027499783</v>
      </c>
      <c r="V63" s="19"/>
      <c r="W63" s="19">
        <f>G63</f>
        <v>-6.4470886710630708</v>
      </c>
      <c r="X63" s="19">
        <f>H63</f>
        <v>0</v>
      </c>
      <c r="Y63" s="19">
        <f>I63</f>
        <v>-12.479546193618187</v>
      </c>
      <c r="Z63" s="19">
        <f>J63</f>
        <v>-19.48501237513468</v>
      </c>
      <c r="AA63" s="19">
        <f t="shared" ref="AA63:AH63" si="6">K63</f>
        <v>1.822453366850584</v>
      </c>
      <c r="AB63" s="19">
        <f t="shared" si="6"/>
        <v>0</v>
      </c>
      <c r="AC63" s="19">
        <f t="shared" si="6"/>
        <v>1.7797135264764918</v>
      </c>
      <c r="AD63" s="19">
        <f t="shared" si="6"/>
        <v>3.7326769477208401</v>
      </c>
      <c r="AE63" s="19">
        <f t="shared" si="6"/>
        <v>-19.762246576679644</v>
      </c>
      <c r="AF63" s="19">
        <f t="shared" si="6"/>
        <v>0</v>
      </c>
      <c r="AG63" s="19">
        <f t="shared" si="6"/>
        <v>-12.345930218803346</v>
      </c>
      <c r="AH63" s="25">
        <f t="shared" si="6"/>
        <v>-56.896945027499783</v>
      </c>
    </row>
    <row r="64" spans="2:34" x14ac:dyDescent="0.25">
      <c r="E64" s="15">
        <v>1</v>
      </c>
      <c r="F64" s="4" t="s">
        <v>95</v>
      </c>
      <c r="G64" s="19">
        <f>F6</f>
        <v>-3.9865244272693179</v>
      </c>
      <c r="H64" s="19">
        <v>0</v>
      </c>
      <c r="I64" s="19">
        <f>N6</f>
        <v>-15.130019804169258</v>
      </c>
      <c r="J64" s="19">
        <f>R6</f>
        <v>-29.122909483828117</v>
      </c>
      <c r="K64" s="19">
        <f>G6</f>
        <v>2.0204537997163761</v>
      </c>
      <c r="L64" s="19">
        <v>0</v>
      </c>
      <c r="M64" s="19">
        <f>O6</f>
        <v>2.2102779584302641</v>
      </c>
      <c r="N64" s="19">
        <f>S6</f>
        <v>6.00555563915702</v>
      </c>
      <c r="O64" s="19">
        <f>F7</f>
        <v>-31.973735465610179</v>
      </c>
      <c r="P64" s="19">
        <v>0</v>
      </c>
      <c r="Q64" s="19">
        <f>N7</f>
        <v>-15.74255249751703</v>
      </c>
      <c r="R64" s="19">
        <f>R7</f>
        <v>61.01364460877236</v>
      </c>
      <c r="W64" t="str">
        <f t="shared" ref="W64:AH71" si="7">_xlfn.CONCAT(W63,", ",G64)</f>
        <v>-6.44708867106307, -3.98652442726932</v>
      </c>
      <c r="X64" t="str">
        <f t="shared" si="7"/>
        <v>0, 0</v>
      </c>
      <c r="Y64" t="str">
        <f t="shared" si="7"/>
        <v>-12.4795461936182, -15.1300198041693</v>
      </c>
      <c r="Z64" t="str">
        <f t="shared" si="7"/>
        <v>-19.4850123751347, -29.1229094838281</v>
      </c>
      <c r="AA64" t="str">
        <f t="shared" si="7"/>
        <v>1.82245336685058, 2.02045379971638</v>
      </c>
      <c r="AB64" t="str">
        <f t="shared" si="7"/>
        <v>0, 0</v>
      </c>
      <c r="AC64" t="str">
        <f t="shared" si="7"/>
        <v>1.77971352647649, 2.21027795843026</v>
      </c>
      <c r="AD64" t="str">
        <f t="shared" si="7"/>
        <v>3.73267694772084, 6.00555563915702</v>
      </c>
      <c r="AE64" t="str">
        <f t="shared" si="7"/>
        <v>-19.7622465766796, -31.9737354656102</v>
      </c>
      <c r="AF64" t="str">
        <f t="shared" si="7"/>
        <v>0, 0</v>
      </c>
      <c r="AG64" t="str">
        <f t="shared" si="7"/>
        <v>-12.3459302188033, -15.742552497517</v>
      </c>
      <c r="AH64" s="16" t="str">
        <f t="shared" si="7"/>
        <v>-56.8969450274998, 61.0136446087724</v>
      </c>
    </row>
    <row r="65" spans="5:34" x14ac:dyDescent="0.25">
      <c r="E65" s="15">
        <v>1</v>
      </c>
      <c r="F65" s="4" t="s">
        <v>96</v>
      </c>
      <c r="G65" s="19">
        <f>F8</f>
        <v>-42.349605546813898</v>
      </c>
      <c r="H65" s="19">
        <v>0</v>
      </c>
      <c r="I65" s="19">
        <f>N8</f>
        <v>-23.81272158399392</v>
      </c>
      <c r="J65" s="19">
        <f>R8</f>
        <v>-29.744531088816778</v>
      </c>
      <c r="K65" s="19">
        <f>G8</f>
        <v>9.0616709357528826</v>
      </c>
      <c r="L65" s="19">
        <v>0</v>
      </c>
      <c r="M65" s="19">
        <f>O8</f>
        <v>3.3676945104708778</v>
      </c>
      <c r="N65" s="19">
        <f>S8</f>
        <v>6.2514002521055447</v>
      </c>
      <c r="O65" s="19">
        <f>F9</f>
        <v>-2.4448731670655239</v>
      </c>
      <c r="P65" s="19">
        <v>0</v>
      </c>
      <c r="Q65" s="19">
        <f>N9</f>
        <v>12.339015260003055</v>
      </c>
      <c r="R65" s="19">
        <f>R9</f>
        <v>53.71267799137236</v>
      </c>
      <c r="W65" t="str">
        <f t="shared" si="7"/>
        <v>-6.44708867106307, -3.98652442726932, -42.3496055468139</v>
      </c>
      <c r="X65" t="str">
        <f t="shared" si="7"/>
        <v>0, 0, 0</v>
      </c>
      <c r="Y65" t="str">
        <f t="shared" si="7"/>
        <v>-12.4795461936182, -15.1300198041693, -23.8127215839939</v>
      </c>
      <c r="Z65" t="str">
        <f t="shared" si="7"/>
        <v>-19.4850123751347, -29.1229094838281, -29.7445310888168</v>
      </c>
      <c r="AA65" t="str">
        <f t="shared" si="7"/>
        <v>1.82245336685058, 2.02045379971638, 9.06167093575288</v>
      </c>
      <c r="AB65" t="str">
        <f t="shared" si="7"/>
        <v>0, 0, 0</v>
      </c>
      <c r="AC65" t="str">
        <f t="shared" si="7"/>
        <v>1.77971352647649, 2.21027795843026, 3.36769451047088</v>
      </c>
      <c r="AD65" t="str">
        <f t="shared" si="7"/>
        <v>3.73267694772084, 6.00555563915702, 6.25140025210554</v>
      </c>
      <c r="AE65" t="str">
        <f t="shared" si="7"/>
        <v>-19.7622465766796, -31.9737354656102, -2.44487316706552</v>
      </c>
      <c r="AF65" t="str">
        <f t="shared" si="7"/>
        <v>0, 0, 0</v>
      </c>
      <c r="AG65" t="str">
        <f t="shared" si="7"/>
        <v>-12.3459302188033, -15.742552497517, 12.3390152600031</v>
      </c>
      <c r="AH65" s="16" t="str">
        <f t="shared" si="7"/>
        <v>-56.8969450274998, 61.0136446087724, 53.7126779913724</v>
      </c>
    </row>
    <row r="66" spans="5:34" x14ac:dyDescent="0.25">
      <c r="E66" s="15">
        <v>2</v>
      </c>
      <c r="F66" t="s">
        <v>97</v>
      </c>
      <c r="G66" s="19">
        <f>F12</f>
        <v>4.9206085734208136</v>
      </c>
      <c r="H66" s="19">
        <v>0</v>
      </c>
      <c r="I66" s="19">
        <f>N12</f>
        <v>1.9131742633049797</v>
      </c>
      <c r="J66" s="19">
        <f>R12</f>
        <v>11.795355597175135</v>
      </c>
      <c r="K66" s="19">
        <f>G12</f>
        <v>1.745488502672361</v>
      </c>
      <c r="L66" s="19">
        <v>0</v>
      </c>
      <c r="M66" s="19">
        <f>O12</f>
        <v>0.69275247501916781</v>
      </c>
      <c r="N66" s="19">
        <f>S12</f>
        <v>2.6349032836212483</v>
      </c>
      <c r="O66" s="19">
        <f>F13</f>
        <v>-7.6358291273398562</v>
      </c>
      <c r="P66" s="19">
        <v>0</v>
      </c>
      <c r="Q66" s="19">
        <f>N13</f>
        <v>1.76738362299194</v>
      </c>
      <c r="R66" s="19">
        <f>R13</f>
        <v>-3.103215382336864</v>
      </c>
      <c r="W66" t="str">
        <f t="shared" si="7"/>
        <v>-6.44708867106307, -3.98652442726932, -42.3496055468139, 4.92060857342081</v>
      </c>
      <c r="X66" t="str">
        <f t="shared" si="7"/>
        <v>0, 0, 0, 0</v>
      </c>
      <c r="Y66" t="str">
        <f t="shared" si="7"/>
        <v>-12.4795461936182, -15.1300198041693, -23.8127215839939, 1.91317426330498</v>
      </c>
      <c r="Z66" t="str">
        <f t="shared" si="7"/>
        <v>-19.4850123751347, -29.1229094838281, -29.7445310888168, 11.7953555971751</v>
      </c>
      <c r="AA66" t="str">
        <f t="shared" si="7"/>
        <v>1.82245336685058, 2.02045379971638, 9.06167093575288, 1.74548850267236</v>
      </c>
      <c r="AB66" t="str">
        <f t="shared" si="7"/>
        <v>0, 0, 0, 0</v>
      </c>
      <c r="AC66" t="str">
        <f t="shared" si="7"/>
        <v>1.77971352647649, 2.21027795843026, 3.36769451047088, 0.692752475019168</v>
      </c>
      <c r="AD66" t="str">
        <f t="shared" si="7"/>
        <v>3.73267694772084, 6.00555563915702, 6.25140025210554, 2.63490328362125</v>
      </c>
      <c r="AE66" t="str">
        <f t="shared" si="7"/>
        <v>-19.7622465766796, -31.9737354656102, -2.44487316706552, -7.63582912733986</v>
      </c>
      <c r="AF66" t="str">
        <f t="shared" si="7"/>
        <v>0, 0, 0, 0</v>
      </c>
      <c r="AG66" t="str">
        <f t="shared" si="7"/>
        <v>-12.3459302188033, -15.742552497517, 12.3390152600031, 1.76738362299194</v>
      </c>
      <c r="AH66" s="16" t="str">
        <f t="shared" si="7"/>
        <v>-56.8969450274998, 61.0136446087724, 53.7126779913724, -3.10321538233686</v>
      </c>
    </row>
    <row r="67" spans="5:34" x14ac:dyDescent="0.25">
      <c r="E67" s="15">
        <v>2</v>
      </c>
      <c r="F67" t="s">
        <v>98</v>
      </c>
      <c r="G67" s="19">
        <f>F14</f>
        <v>5.3820247318699623</v>
      </c>
      <c r="H67" s="19">
        <v>0</v>
      </c>
      <c r="I67" s="19">
        <f>N14</f>
        <v>5.2652997626914457</v>
      </c>
      <c r="J67" s="19">
        <f>R14</f>
        <v>24.22206577229236</v>
      </c>
      <c r="K67" s="19">
        <f>G14</f>
        <v>1.9830969123513689</v>
      </c>
      <c r="L67" s="19">
        <v>0</v>
      </c>
      <c r="M67" s="19">
        <f>O14</f>
        <v>0.9594099294244538</v>
      </c>
      <c r="N67" s="19">
        <f>S14</f>
        <v>5.0825635225110721</v>
      </c>
      <c r="O67" s="19">
        <f>F15</f>
        <v>13.42298036191213</v>
      </c>
      <c r="P67" s="19">
        <v>0</v>
      </c>
      <c r="Q67" s="19">
        <f>N15</f>
        <v>6.2379807434713843</v>
      </c>
      <c r="R67" s="19">
        <f>R15</f>
        <v>-19.717468762836951</v>
      </c>
      <c r="W67" t="str">
        <f t="shared" si="7"/>
        <v>-6.44708867106307, -3.98652442726932, -42.3496055468139, 4.92060857342081, 5.38202473186996</v>
      </c>
      <c r="X67" t="str">
        <f t="shared" si="7"/>
        <v>0, 0, 0, 0, 0</v>
      </c>
      <c r="Y67" t="str">
        <f t="shared" si="7"/>
        <v>-12.4795461936182, -15.1300198041693, -23.8127215839939, 1.91317426330498, 5.26529976269145</v>
      </c>
      <c r="Z67" t="str">
        <f t="shared" si="7"/>
        <v>-19.4850123751347, -29.1229094838281, -29.7445310888168, 11.7953555971751, 24.2220657722924</v>
      </c>
      <c r="AA67" t="str">
        <f t="shared" si="7"/>
        <v>1.82245336685058, 2.02045379971638, 9.06167093575288, 1.74548850267236, 1.98309691235137</v>
      </c>
      <c r="AB67" t="str">
        <f t="shared" si="7"/>
        <v>0, 0, 0, 0, 0</v>
      </c>
      <c r="AC67" t="str">
        <f t="shared" si="7"/>
        <v>1.77971352647649, 2.21027795843026, 3.36769451047088, 0.692752475019168, 0.959409929424454</v>
      </c>
      <c r="AD67" t="str">
        <f t="shared" si="7"/>
        <v>3.73267694772084, 6.00555563915702, 6.25140025210554, 2.63490328362125, 5.08256352251107</v>
      </c>
      <c r="AE67" t="str">
        <f t="shared" si="7"/>
        <v>-19.7622465766796, -31.9737354656102, -2.44487316706552, -7.63582912733986, 13.4229803619121</v>
      </c>
      <c r="AF67" t="str">
        <f t="shared" si="7"/>
        <v>0, 0, 0, 0, 0</v>
      </c>
      <c r="AG67" t="str">
        <f t="shared" si="7"/>
        <v>-12.3459302188033, -15.742552497517, 12.3390152600031, 1.76738362299194, 6.23798074347138</v>
      </c>
      <c r="AH67" s="16" t="str">
        <f t="shared" si="7"/>
        <v>-56.8969450274998, 61.0136446087724, 53.7126779913724, -3.10321538233686, -19.717468762837</v>
      </c>
    </row>
    <row r="68" spans="5:34" x14ac:dyDescent="0.25">
      <c r="E68" s="15">
        <v>2</v>
      </c>
      <c r="F68" t="s">
        <v>99</v>
      </c>
      <c r="G68" s="19">
        <f>F16</f>
        <v>6.9620740453216099</v>
      </c>
      <c r="H68" s="19">
        <v>0</v>
      </c>
      <c r="I68" s="19">
        <f>N16</f>
        <v>3.2262907332964779</v>
      </c>
      <c r="J68" s="19">
        <f>R16</f>
        <v>13.777282307285963</v>
      </c>
      <c r="K68" s="19">
        <f>G16</f>
        <v>1.8269702022682288</v>
      </c>
      <c r="L68" s="19">
        <v>0</v>
      </c>
      <c r="M68" s="19">
        <f>O16</f>
        <v>0.76273867192528111</v>
      </c>
      <c r="N68" s="19">
        <f>S16</f>
        <v>2.9931692537709695</v>
      </c>
      <c r="O68" s="19">
        <f>F17</f>
        <v>-0.76986088981206868</v>
      </c>
      <c r="P68" s="19">
        <v>0</v>
      </c>
      <c r="Q68" s="19">
        <f>N17</f>
        <v>4.6897813436220819</v>
      </c>
      <c r="R68" s="19">
        <f>R17</f>
        <v>2.2691528113441661</v>
      </c>
      <c r="W68" t="str">
        <f t="shared" si="7"/>
        <v>-6.44708867106307, -3.98652442726932, -42.3496055468139, 4.92060857342081, 5.38202473186996, 6.96207404532161</v>
      </c>
      <c r="X68" t="str">
        <f t="shared" si="7"/>
        <v>0, 0, 0, 0, 0, 0</v>
      </c>
      <c r="Y68" t="str">
        <f t="shared" si="7"/>
        <v>-12.4795461936182, -15.1300198041693, -23.8127215839939, 1.91317426330498, 5.26529976269145, 3.22629073329648</v>
      </c>
      <c r="Z68" t="str">
        <f t="shared" si="7"/>
        <v>-19.4850123751347, -29.1229094838281, -29.7445310888168, 11.7953555971751, 24.2220657722924, 13.777282307286</v>
      </c>
      <c r="AA68" t="str">
        <f t="shared" si="7"/>
        <v>1.82245336685058, 2.02045379971638, 9.06167093575288, 1.74548850267236, 1.98309691235137, 1.82697020226823</v>
      </c>
      <c r="AB68" t="str">
        <f t="shared" si="7"/>
        <v>0, 0, 0, 0, 0, 0</v>
      </c>
      <c r="AC68" t="str">
        <f t="shared" si="7"/>
        <v>1.77971352647649, 2.21027795843026, 3.36769451047088, 0.692752475019168, 0.959409929424454, 0.762738671925281</v>
      </c>
      <c r="AD68" t="str">
        <f t="shared" si="7"/>
        <v>3.73267694772084, 6.00555563915702, 6.25140025210554, 2.63490328362125, 5.08256352251107, 2.99316925377097</v>
      </c>
      <c r="AE68" t="str">
        <f t="shared" si="7"/>
        <v>-19.7622465766796, -31.9737354656102, -2.44487316706552, -7.63582912733986, 13.4229803619121, -0.769860889812069</v>
      </c>
      <c r="AF68" t="str">
        <f t="shared" si="7"/>
        <v>0, 0, 0, 0, 0, 0</v>
      </c>
      <c r="AG68" t="str">
        <f t="shared" si="7"/>
        <v>-12.3459302188033, -15.742552497517, 12.3390152600031, 1.76738362299194, 6.23798074347138, 4.68978134362208</v>
      </c>
      <c r="AH68" s="16" t="str">
        <f t="shared" si="7"/>
        <v>-56.8969450274998, 61.0136446087724, 53.7126779913724, -3.10321538233686, -19.717468762837, 2.26915281134417</v>
      </c>
    </row>
    <row r="69" spans="5:34" x14ac:dyDescent="0.25">
      <c r="E69" s="15">
        <v>3</v>
      </c>
      <c r="F69" t="s">
        <v>27</v>
      </c>
      <c r="G69" s="19">
        <f>F18</f>
        <v>6.1617829004590341</v>
      </c>
      <c r="H69" s="19">
        <v>0</v>
      </c>
      <c r="I69" s="19">
        <f>N18</f>
        <v>2.1003921287810003</v>
      </c>
      <c r="J69" s="19">
        <f>R18</f>
        <v>12.021814080330133</v>
      </c>
      <c r="K69" s="19">
        <f>G18</f>
        <v>1.6096268732565275</v>
      </c>
      <c r="L69" s="19">
        <v>0</v>
      </c>
      <c r="M69" s="19">
        <f>O18</f>
        <v>0.55373848886648402</v>
      </c>
      <c r="N69" s="19">
        <f>S18</f>
        <v>2.6554064355926084</v>
      </c>
      <c r="O69" s="19">
        <f>F19</f>
        <v>8.5451324865111076</v>
      </c>
      <c r="P69" s="19">
        <v>0</v>
      </c>
      <c r="Q69" s="19">
        <f>N19</f>
        <v>-3.1036816528563222</v>
      </c>
      <c r="R69" s="19">
        <f>R19</f>
        <v>15.492986531715463</v>
      </c>
      <c r="W69" t="str">
        <f t="shared" si="7"/>
        <v>-6.44708867106307, -3.98652442726932, -42.3496055468139, 4.92060857342081, 5.38202473186996, 6.96207404532161, 6.16178290045903</v>
      </c>
      <c r="X69" t="str">
        <f t="shared" si="7"/>
        <v>0, 0, 0, 0, 0, 0, 0</v>
      </c>
      <c r="Y69" t="str">
        <f t="shared" si="7"/>
        <v>-12.4795461936182, -15.1300198041693, -23.8127215839939, 1.91317426330498, 5.26529976269145, 3.22629073329648, 2.100392128781</v>
      </c>
      <c r="Z69" t="str">
        <f t="shared" si="7"/>
        <v>-19.4850123751347, -29.1229094838281, -29.7445310888168, 11.7953555971751, 24.2220657722924, 13.777282307286, 12.0218140803301</v>
      </c>
      <c r="AA69" t="str">
        <f t="shared" si="7"/>
        <v>1.82245336685058, 2.02045379971638, 9.06167093575288, 1.74548850267236, 1.98309691235137, 1.82697020226823, 1.60962687325653</v>
      </c>
      <c r="AB69" t="str">
        <f t="shared" si="7"/>
        <v>0, 0, 0, 0, 0, 0, 0</v>
      </c>
      <c r="AC69" t="str">
        <f t="shared" si="7"/>
        <v>1.77971352647649, 2.21027795843026, 3.36769451047088, 0.692752475019168, 0.959409929424454, 0.762738671925281, 0.553738488866484</v>
      </c>
      <c r="AD69" t="str">
        <f t="shared" si="7"/>
        <v>3.73267694772084, 6.00555563915702, 6.25140025210554, 2.63490328362125, 5.08256352251107, 2.99316925377097, 2.65540643559261</v>
      </c>
      <c r="AE69" t="str">
        <f t="shared" si="7"/>
        <v>-19.7622465766796, -31.9737354656102, -2.44487316706552, -7.63582912733986, 13.4229803619121, -0.769860889812069, 8.54513248651111</v>
      </c>
      <c r="AF69" t="str">
        <f t="shared" si="7"/>
        <v>0, 0, 0, 0, 0, 0, 0</v>
      </c>
      <c r="AG69" t="str">
        <f t="shared" si="7"/>
        <v>-12.3459302188033, -15.742552497517, 12.3390152600031, 1.76738362299194, 6.23798074347138, 4.68978134362208, -3.10368165285632</v>
      </c>
      <c r="AH69" s="16" t="str">
        <f t="shared" si="7"/>
        <v>-56.8969450274998, 61.0136446087724, 53.7126779913724, -3.10321538233686, -19.717468762837, 2.26915281134417, 15.4929865317155</v>
      </c>
    </row>
    <row r="70" spans="5:34" x14ac:dyDescent="0.25">
      <c r="E70" s="15">
        <v>3</v>
      </c>
      <c r="F70" t="s">
        <v>29</v>
      </c>
      <c r="G70" s="19">
        <f>F20</f>
        <v>2.270644951887248</v>
      </c>
      <c r="H70" s="19">
        <v>0</v>
      </c>
      <c r="I70" s="19">
        <f>N20</f>
        <v>0.8710527986896297</v>
      </c>
      <c r="J70" s="19">
        <f>R20</f>
        <v>2.994641785373318</v>
      </c>
      <c r="K70" s="19">
        <f>G20</f>
        <v>1.1486379622682621</v>
      </c>
      <c r="L70" s="19">
        <v>0</v>
      </c>
      <c r="M70" s="19">
        <f>O20</f>
        <v>0.53463159204897781</v>
      </c>
      <c r="N70" s="19">
        <f>S20</f>
        <v>0.9185612990113281</v>
      </c>
      <c r="O70" s="19">
        <f>F21</f>
        <v>7.3370422866029621</v>
      </c>
      <c r="P70" s="19">
        <v>0</v>
      </c>
      <c r="Q70" s="19">
        <f>N21</f>
        <v>3.1949918546767258</v>
      </c>
      <c r="R70" s="19">
        <f>R21</f>
        <v>-8.0298025256088295</v>
      </c>
      <c r="W70" t="str">
        <f t="shared" si="7"/>
        <v>-6.44708867106307, -3.98652442726932, -42.3496055468139, 4.92060857342081, 5.38202473186996, 6.96207404532161, 6.16178290045903, 2.27064495188725</v>
      </c>
      <c r="X70" t="str">
        <f t="shared" si="7"/>
        <v>0, 0, 0, 0, 0, 0, 0, 0</v>
      </c>
      <c r="Y70" t="str">
        <f t="shared" si="7"/>
        <v>-12.4795461936182, -15.1300198041693, -23.8127215839939, 1.91317426330498, 5.26529976269145, 3.22629073329648, 2.100392128781, 0.87105279868963</v>
      </c>
      <c r="Z70" t="str">
        <f t="shared" si="7"/>
        <v>-19.4850123751347, -29.1229094838281, -29.7445310888168, 11.7953555971751, 24.2220657722924, 13.777282307286, 12.0218140803301, 2.99464178537332</v>
      </c>
      <c r="AA70" t="str">
        <f t="shared" si="7"/>
        <v>1.82245336685058, 2.02045379971638, 9.06167093575288, 1.74548850267236, 1.98309691235137, 1.82697020226823, 1.60962687325653, 1.14863796226826</v>
      </c>
      <c r="AB70" t="str">
        <f t="shared" si="7"/>
        <v>0, 0, 0, 0, 0, 0, 0, 0</v>
      </c>
      <c r="AC70" t="str">
        <f t="shared" si="7"/>
        <v>1.77971352647649, 2.21027795843026, 3.36769451047088, 0.692752475019168, 0.959409929424454, 0.762738671925281, 0.553738488866484, 0.534631592048978</v>
      </c>
      <c r="AD70" t="str">
        <f t="shared" si="7"/>
        <v>3.73267694772084, 6.00555563915702, 6.25140025210554, 2.63490328362125, 5.08256352251107, 2.99316925377097, 2.65540643559261, 0.918561299011328</v>
      </c>
      <c r="AE70" t="str">
        <f t="shared" si="7"/>
        <v>-19.7622465766796, -31.9737354656102, -2.44487316706552, -7.63582912733986, 13.4229803619121, -0.769860889812069, 8.54513248651111, 7.33704228660296</v>
      </c>
      <c r="AF70" t="str">
        <f t="shared" si="7"/>
        <v>0, 0, 0, 0, 0, 0, 0, 0</v>
      </c>
      <c r="AG70" t="str">
        <f t="shared" si="7"/>
        <v>-12.3459302188033, -15.742552497517, 12.3390152600031, 1.76738362299194, 6.23798074347138, 4.68978134362208, -3.10368165285632, 3.19499185467673</v>
      </c>
      <c r="AH70" s="16" t="str">
        <f t="shared" si="7"/>
        <v>-56.8969450274998, 61.0136446087724, 53.7126779913724, -3.10321538233686, -19.717468762837, 2.26915281134417, 15.4929865317155, -8.02980252560883</v>
      </c>
    </row>
    <row r="71" spans="5:34" x14ac:dyDescent="0.25">
      <c r="E71" s="15">
        <v>4</v>
      </c>
      <c r="F71" t="s">
        <v>100</v>
      </c>
      <c r="G71" s="19">
        <f>F22</f>
        <v>-3.351491051586196</v>
      </c>
      <c r="H71" s="19">
        <v>0</v>
      </c>
      <c r="I71" s="19">
        <f>N22</f>
        <v>-2.399069876218578</v>
      </c>
      <c r="J71" s="19">
        <f>R22</f>
        <v>-2.1576908707137581</v>
      </c>
      <c r="K71" s="19">
        <f>G22</f>
        <v>1.1013628939985041</v>
      </c>
      <c r="L71" s="19">
        <v>0</v>
      </c>
      <c r="M71" s="19">
        <f>O22</f>
        <v>0.61457809768783556</v>
      </c>
      <c r="N71" s="19">
        <f>S22</f>
        <v>0.7599347758742282</v>
      </c>
      <c r="O71" s="19">
        <f>F23</f>
        <v>6.8884444889209817</v>
      </c>
      <c r="P71" s="19">
        <v>0</v>
      </c>
      <c r="Q71" s="19">
        <f>N23</f>
        <v>-4.5941318643550062</v>
      </c>
      <c r="R71" s="19">
        <f>R23</f>
        <v>-1.9092108396274954</v>
      </c>
      <c r="W71" t="str">
        <f t="shared" si="7"/>
        <v>-6.44708867106307, -3.98652442726932, -42.3496055468139, 4.92060857342081, 5.38202473186996, 6.96207404532161, 6.16178290045903, 2.27064495188725, -3.3514910515862</v>
      </c>
      <c r="X71" t="str">
        <f t="shared" si="7"/>
        <v>0, 0, 0, 0, 0, 0, 0, 0, 0</v>
      </c>
      <c r="Y71" t="str">
        <f t="shared" si="7"/>
        <v>-12.4795461936182, -15.1300198041693, -23.8127215839939, 1.91317426330498, 5.26529976269145, 3.22629073329648, 2.100392128781, 0.87105279868963, -2.39906987621858</v>
      </c>
      <c r="Z71" t="str">
        <f t="shared" si="7"/>
        <v>-19.4850123751347, -29.1229094838281, -29.7445310888168, 11.7953555971751, 24.2220657722924, 13.777282307286, 12.0218140803301, 2.99464178537332, -2.15769087071376</v>
      </c>
      <c r="AA71" t="str">
        <f>_xlfn.CONCAT(AA70,", ",K71)</f>
        <v>1.82245336685058, 2.02045379971638, 9.06167093575288, 1.74548850267236, 1.98309691235137, 1.82697020226823, 1.60962687325653, 1.14863796226826, 1.1013628939985</v>
      </c>
      <c r="AB71" t="str">
        <f t="shared" si="7"/>
        <v>0, 0, 0, 0, 0, 0, 0, 0, 0</v>
      </c>
      <c r="AC71" t="str">
        <f t="shared" si="7"/>
        <v>1.77971352647649, 2.21027795843026, 3.36769451047088, 0.692752475019168, 0.959409929424454, 0.762738671925281, 0.553738488866484, 0.534631592048978, 0.614578097687836</v>
      </c>
      <c r="AD71" t="str">
        <f t="shared" si="7"/>
        <v>3.73267694772084, 6.00555563915702, 6.25140025210554, 2.63490328362125, 5.08256352251107, 2.99316925377097, 2.65540643559261, 0.918561299011328, 0.759934775874228</v>
      </c>
      <c r="AE71" t="str">
        <f t="shared" si="7"/>
        <v>-19.7622465766796, -31.9737354656102, -2.44487316706552, -7.63582912733986, 13.4229803619121, -0.769860889812069, 8.54513248651111, 7.33704228660296, 6.88844448892098</v>
      </c>
      <c r="AF71" t="str">
        <f t="shared" si="7"/>
        <v>0, 0, 0, 0, 0, 0, 0, 0, 0</v>
      </c>
      <c r="AG71" t="str">
        <f t="shared" si="7"/>
        <v>-12.3459302188033, -15.742552497517, 12.3390152600031, 1.76738362299194, 6.23798074347138, 4.68978134362208, -3.10368165285632, 3.19499185467673, -4.59413186435501</v>
      </c>
      <c r="AH71" s="16" t="str">
        <f t="shared" si="7"/>
        <v>-56.8969450274998, 61.0136446087724, 53.7126779913724, -3.10321538233686, -19.717468762837, 2.26915281134417, 15.4929865317155, -8.02980252560883, -1.9092108396275</v>
      </c>
    </row>
    <row r="72" spans="5:34" x14ac:dyDescent="0.25">
      <c r="E72" s="15">
        <v>4</v>
      </c>
      <c r="F72" t="s">
        <v>101</v>
      </c>
      <c r="G72" s="19">
        <f>F24</f>
        <v>-7.1657870257945353</v>
      </c>
      <c r="H72" s="19">
        <v>0</v>
      </c>
      <c r="I72" s="19">
        <f>N24</f>
        <v>-3.39484798298336</v>
      </c>
      <c r="J72" s="19">
        <f>R24</f>
        <v>-3.4070680826160382</v>
      </c>
      <c r="K72" s="19">
        <f>G24</f>
        <v>1.5746061804025473</v>
      </c>
      <c r="L72" s="19">
        <v>0</v>
      </c>
      <c r="M72" s="19">
        <f>O24</f>
        <v>0.69742320410343184</v>
      </c>
      <c r="N72" s="19">
        <f>S24</f>
        <v>0.96544699777104792</v>
      </c>
      <c r="O72" s="19">
        <f>F25</f>
        <v>11.142756925297839</v>
      </c>
      <c r="P72" s="19">
        <v>0</v>
      </c>
      <c r="Q72" s="19">
        <f>N25</f>
        <v>-5.9060879537797994</v>
      </c>
      <c r="R72" s="19">
        <f>R25</f>
        <v>-6.5888410182026362</v>
      </c>
      <c r="W72" s="26" t="s">
        <v>170</v>
      </c>
      <c r="X72" s="26" t="s">
        <v>129</v>
      </c>
      <c r="Y72" s="26" t="s">
        <v>171</v>
      </c>
      <c r="Z72" s="26" t="s">
        <v>119</v>
      </c>
      <c r="AA72" s="27" t="s">
        <v>172</v>
      </c>
      <c r="AB72" s="27" t="s">
        <v>129</v>
      </c>
      <c r="AC72" s="27" t="s">
        <v>173</v>
      </c>
      <c r="AD72" s="27" t="s">
        <v>127</v>
      </c>
      <c r="AE72" s="29" t="s">
        <v>174</v>
      </c>
      <c r="AF72" s="29" t="s">
        <v>129</v>
      </c>
      <c r="AG72" s="29" t="s">
        <v>175</v>
      </c>
      <c r="AH72" s="30" t="s">
        <v>124</v>
      </c>
    </row>
    <row r="73" spans="5:34" x14ac:dyDescent="0.25">
      <c r="E73" s="15">
        <v>5</v>
      </c>
      <c r="F73" t="s">
        <v>102</v>
      </c>
      <c r="G73" s="19">
        <f>F26</f>
        <v>18.890015137702761</v>
      </c>
      <c r="H73" s="19">
        <v>0</v>
      </c>
      <c r="I73" s="19">
        <f>N26</f>
        <v>20.28119625051124</v>
      </c>
      <c r="J73" s="19">
        <f>R26</f>
        <v>13.738034145926658</v>
      </c>
      <c r="K73" s="19">
        <f>G26</f>
        <v>4.4499955706492598</v>
      </c>
      <c r="L73" s="19">
        <v>0</v>
      </c>
      <c r="M73" s="19">
        <f>O26</f>
        <v>2.862227233458662</v>
      </c>
      <c r="N73" s="19">
        <f>S26</f>
        <v>1.5516924936825478</v>
      </c>
      <c r="O73" s="19"/>
      <c r="R73" s="19"/>
      <c r="S73" s="19"/>
      <c r="T73" s="19"/>
      <c r="U73" s="19"/>
      <c r="AH73" s="16"/>
    </row>
    <row r="74" spans="5:34" x14ac:dyDescent="0.25">
      <c r="E74" s="15">
        <v>5</v>
      </c>
      <c r="F74" t="s">
        <v>103</v>
      </c>
      <c r="G74" s="19">
        <f>F27</f>
        <v>22.177490782335482</v>
      </c>
      <c r="H74" s="19">
        <v>0</v>
      </c>
      <c r="I74" s="19">
        <f>N27</f>
        <v>17.132968840763738</v>
      </c>
      <c r="J74" s="19">
        <f>R27</f>
        <v>13.487233829226478</v>
      </c>
      <c r="K74" s="19">
        <f>G27</f>
        <v>4.8768926652505105</v>
      </c>
      <c r="L74" s="19">
        <v>0</v>
      </c>
      <c r="M74" s="19">
        <f>O27</f>
        <v>2.4778713484548023</v>
      </c>
      <c r="N74" s="19">
        <f>S27</f>
        <v>1.5913518272905929</v>
      </c>
      <c r="O74" s="19"/>
      <c r="AH74" s="16"/>
    </row>
    <row r="75" spans="5:34" ht="15.75" thickBot="1" x14ac:dyDescent="0.3">
      <c r="E75" s="20">
        <v>5</v>
      </c>
      <c r="F75" s="22" t="s">
        <v>104</v>
      </c>
      <c r="G75" s="21">
        <f>F28</f>
        <v>-35.902516875750841</v>
      </c>
      <c r="H75" s="21">
        <v>0</v>
      </c>
      <c r="I75" s="21">
        <f>N28</f>
        <v>-11.333175390375732</v>
      </c>
      <c r="J75" s="21">
        <f>R28</f>
        <v>-10.259518713682098</v>
      </c>
      <c r="K75" s="21">
        <f>G28</f>
        <v>9.757629051973689</v>
      </c>
      <c r="L75" s="21">
        <v>0</v>
      </c>
      <c r="M75" s="21">
        <f>O28</f>
        <v>2.7765359279880282</v>
      </c>
      <c r="N75" s="21">
        <f>S28</f>
        <v>2.7858484667341701</v>
      </c>
      <c r="O75" s="21"/>
      <c r="P75" s="22"/>
      <c r="Q75" s="22"/>
      <c r="R75" s="22"/>
      <c r="S75" s="21"/>
      <c r="T75" s="21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3"/>
    </row>
    <row r="78" spans="5:34" ht="15.75" thickBot="1" x14ac:dyDescent="0.3"/>
    <row r="79" spans="5:34" x14ac:dyDescent="0.25">
      <c r="E79" s="24" t="s">
        <v>109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4"/>
    </row>
    <row r="80" spans="5:34" x14ac:dyDescent="0.25">
      <c r="E80" s="15"/>
      <c r="G80" t="s">
        <v>85</v>
      </c>
      <c r="H80" t="s">
        <v>85</v>
      </c>
      <c r="I80" t="s">
        <v>86</v>
      </c>
      <c r="J80" t="s">
        <v>85</v>
      </c>
      <c r="K80" t="s">
        <v>5</v>
      </c>
      <c r="L80" t="s">
        <v>5</v>
      </c>
      <c r="M80" t="s">
        <v>5</v>
      </c>
      <c r="N80" t="s">
        <v>5</v>
      </c>
      <c r="O80" t="s">
        <v>87</v>
      </c>
      <c r="P80" t="s">
        <v>87</v>
      </c>
      <c r="Q80" t="s">
        <v>87</v>
      </c>
      <c r="R80" t="s">
        <v>87</v>
      </c>
      <c r="AH80" s="16"/>
    </row>
    <row r="81" spans="5:34" x14ac:dyDescent="0.25">
      <c r="E81" s="15" t="s">
        <v>88</v>
      </c>
      <c r="F81" t="s">
        <v>89</v>
      </c>
      <c r="G81" t="s">
        <v>90</v>
      </c>
      <c r="H81" t="s">
        <v>91</v>
      </c>
      <c r="I81" t="s">
        <v>92</v>
      </c>
      <c r="J81" t="s">
        <v>81</v>
      </c>
      <c r="K81" t="s">
        <v>90</v>
      </c>
      <c r="L81" t="s">
        <v>91</v>
      </c>
      <c r="M81" t="s">
        <v>92</v>
      </c>
      <c r="N81" t="s">
        <v>81</v>
      </c>
      <c r="O81" t="s">
        <v>90</v>
      </c>
      <c r="P81" t="s">
        <v>91</v>
      </c>
      <c r="Q81" t="s">
        <v>92</v>
      </c>
      <c r="R81" t="s">
        <v>81</v>
      </c>
      <c r="W81" s="17" t="s">
        <v>93</v>
      </c>
      <c r="AH81" s="16"/>
    </row>
    <row r="82" spans="5:34" x14ac:dyDescent="0.25">
      <c r="E82" s="15">
        <v>1</v>
      </c>
      <c r="F82" s="4" t="s">
        <v>94</v>
      </c>
      <c r="G82" s="19">
        <f>F32</f>
        <v>-0.34348104680374081</v>
      </c>
      <c r="H82" s="19" t="str">
        <f>J32</f>
        <v>No corrío (n = 232)</v>
      </c>
      <c r="I82" s="19">
        <f>N32</f>
        <v>-14.48179046650562</v>
      </c>
      <c r="J82" s="19">
        <f>R32</f>
        <v>0</v>
      </c>
      <c r="K82" s="19">
        <f>G32</f>
        <v>1.3394185661195188</v>
      </c>
      <c r="L82" s="19"/>
      <c r="M82" s="19">
        <f>O32</f>
        <v>1.836310178475534</v>
      </c>
      <c r="N82" s="19">
        <f>S32</f>
        <v>0</v>
      </c>
      <c r="O82" s="19">
        <f>F33</f>
        <v>22.04599772210458</v>
      </c>
      <c r="P82" s="19">
        <f>J33</f>
        <v>0</v>
      </c>
      <c r="Q82" s="19">
        <f>N33</f>
        <v>-11.241964415664235</v>
      </c>
      <c r="R82" s="19">
        <f>R33</f>
        <v>0</v>
      </c>
      <c r="V82" s="19"/>
      <c r="W82" s="19">
        <f>G82</f>
        <v>-0.34348104680374081</v>
      </c>
      <c r="X82" s="19" t="str">
        <f>H82</f>
        <v>No corrío (n = 232)</v>
      </c>
      <c r="Y82" s="19">
        <f>I82</f>
        <v>-14.48179046650562</v>
      </c>
      <c r="Z82" s="19">
        <f>J82</f>
        <v>0</v>
      </c>
      <c r="AA82" s="19">
        <f t="shared" ref="AA82:AH82" si="8">K82</f>
        <v>1.3394185661195188</v>
      </c>
      <c r="AB82" s="19">
        <f t="shared" si="8"/>
        <v>0</v>
      </c>
      <c r="AC82" s="19">
        <f t="shared" si="8"/>
        <v>1.836310178475534</v>
      </c>
      <c r="AD82" s="19">
        <f t="shared" si="8"/>
        <v>0</v>
      </c>
      <c r="AE82" s="19">
        <f t="shared" si="8"/>
        <v>22.04599772210458</v>
      </c>
      <c r="AF82" s="19">
        <f t="shared" si="8"/>
        <v>0</v>
      </c>
      <c r="AG82" s="19">
        <f t="shared" si="8"/>
        <v>-11.241964415664235</v>
      </c>
      <c r="AH82" s="25">
        <f t="shared" si="8"/>
        <v>0</v>
      </c>
    </row>
    <row r="83" spans="5:34" x14ac:dyDescent="0.25">
      <c r="E83" s="15">
        <v>1</v>
      </c>
      <c r="F83" s="4" t="s">
        <v>95</v>
      </c>
      <c r="G83" s="19">
        <f>F34</f>
        <v>2.6223503966819801</v>
      </c>
      <c r="H83" s="19">
        <f>J34</f>
        <v>0</v>
      </c>
      <c r="I83" s="19">
        <f>N34</f>
        <v>-20.498163258273618</v>
      </c>
      <c r="J83" s="19">
        <f>R34</f>
        <v>0</v>
      </c>
      <c r="K83" s="19">
        <f>G34</f>
        <v>1.6944554399891461</v>
      </c>
      <c r="L83" s="19"/>
      <c r="M83" s="19">
        <f>O34</f>
        <v>2.5679746068236158</v>
      </c>
      <c r="N83" s="19">
        <f>S34</f>
        <v>0</v>
      </c>
      <c r="O83" s="19">
        <f>F35</f>
        <v>33.242255262344479</v>
      </c>
      <c r="P83" s="19">
        <f>J35</f>
        <v>0</v>
      </c>
      <c r="Q83" s="19">
        <f>N35</f>
        <v>16.411131355475757</v>
      </c>
      <c r="R83" s="19">
        <f>R35</f>
        <v>0</v>
      </c>
      <c r="W83" t="str">
        <f t="shared" ref="W83:AH90" si="9">_xlfn.CONCAT(W82,", ",G83)</f>
        <v>-0.343481046803741, 2.62235039668198</v>
      </c>
      <c r="X83" t="str">
        <f t="shared" si="9"/>
        <v>No corrío (n = 232), 0</v>
      </c>
      <c r="Y83" t="str">
        <f t="shared" si="9"/>
        <v>-14.4817904665056, -20.4981632582736</v>
      </c>
      <c r="Z83" t="str">
        <f t="shared" si="9"/>
        <v>0, 0</v>
      </c>
      <c r="AA83" t="str">
        <f t="shared" si="9"/>
        <v>1.33941856611952, 1.69445543998915</v>
      </c>
      <c r="AB83" t="str">
        <f t="shared" si="9"/>
        <v xml:space="preserve">0, </v>
      </c>
      <c r="AC83" t="str">
        <f t="shared" si="9"/>
        <v>1.83631017847553, 2.56797460682362</v>
      </c>
      <c r="AD83" t="str">
        <f t="shared" si="9"/>
        <v>0, 0</v>
      </c>
      <c r="AE83" t="str">
        <f t="shared" si="9"/>
        <v>22.0459977221046, 33.2422552623445</v>
      </c>
      <c r="AF83" t="str">
        <f t="shared" si="9"/>
        <v>0, 0</v>
      </c>
      <c r="AG83" t="str">
        <f t="shared" si="9"/>
        <v>-11.2419644156642, 16.4111313554758</v>
      </c>
      <c r="AH83" s="16" t="str">
        <f t="shared" si="9"/>
        <v>0, 0</v>
      </c>
    </row>
    <row r="84" spans="5:34" x14ac:dyDescent="0.25">
      <c r="E84" s="15">
        <v>1</v>
      </c>
      <c r="F84" s="4" t="s">
        <v>96</v>
      </c>
      <c r="G84" s="19">
        <f>F36</f>
        <v>-54.590483380341901</v>
      </c>
      <c r="H84" s="19">
        <f>J36</f>
        <v>0</v>
      </c>
      <c r="I84" s="19">
        <f>N36</f>
        <v>-31.280119630791859</v>
      </c>
      <c r="J84" s="19">
        <f>R36</f>
        <v>0</v>
      </c>
      <c r="K84" s="19">
        <f>G36</f>
        <v>6.8127239746844035</v>
      </c>
      <c r="L84" s="19"/>
      <c r="M84" s="19">
        <f>O36</f>
        <v>3.9014368441129097</v>
      </c>
      <c r="N84" s="19">
        <f>S36</f>
        <v>0</v>
      </c>
      <c r="O84" s="19">
        <f>F37</f>
        <v>34.44752749958198</v>
      </c>
      <c r="P84" s="19">
        <f>J37</f>
        <v>0</v>
      </c>
      <c r="Q84" s="19">
        <f>N37</f>
        <v>13.234777110899332</v>
      </c>
      <c r="R84" s="19">
        <f>R37</f>
        <v>0</v>
      </c>
      <c r="S84" s="19"/>
      <c r="W84" t="str">
        <f t="shared" si="9"/>
        <v>-0.343481046803741, 2.62235039668198, -54.5904833803419</v>
      </c>
      <c r="X84" t="str">
        <f t="shared" si="9"/>
        <v>No corrío (n = 232), 0, 0</v>
      </c>
      <c r="Y84" t="str">
        <f t="shared" si="9"/>
        <v>-14.4817904665056, -20.4981632582736, -31.2801196307919</v>
      </c>
      <c r="Z84" t="str">
        <f t="shared" si="9"/>
        <v>0, 0, 0</v>
      </c>
      <c r="AA84" t="str">
        <f t="shared" si="9"/>
        <v>1.33941856611952, 1.69445543998915, 6.8127239746844</v>
      </c>
      <c r="AB84" t="str">
        <f t="shared" si="9"/>
        <v xml:space="preserve">0, , </v>
      </c>
      <c r="AC84" t="str">
        <f t="shared" si="9"/>
        <v>1.83631017847553, 2.56797460682362, 3.90143684411291</v>
      </c>
      <c r="AD84" t="str">
        <f t="shared" si="9"/>
        <v>0, 0, 0</v>
      </c>
      <c r="AE84" t="str">
        <f t="shared" si="9"/>
        <v>22.0459977221046, 33.2422552623445, 34.447527499582</v>
      </c>
      <c r="AF84" t="str">
        <f t="shared" si="9"/>
        <v>0, 0, 0</v>
      </c>
      <c r="AG84" t="str">
        <f t="shared" si="9"/>
        <v>-11.2419644156642, 16.4111313554758, 13.2347771108993</v>
      </c>
      <c r="AH84" s="16" t="str">
        <f t="shared" si="9"/>
        <v>0, 0, 0</v>
      </c>
    </row>
    <row r="85" spans="5:34" x14ac:dyDescent="0.25">
      <c r="E85" s="15">
        <v>2</v>
      </c>
      <c r="F85" t="s">
        <v>97</v>
      </c>
      <c r="G85" s="19">
        <f>F40</f>
        <v>5.9990215668416056</v>
      </c>
      <c r="H85" s="19">
        <f>J40</f>
        <v>0</v>
      </c>
      <c r="I85" s="19">
        <f>N40</f>
        <v>1.2981968659309504</v>
      </c>
      <c r="J85" s="19">
        <f>R40</f>
        <v>0</v>
      </c>
      <c r="K85" s="19">
        <f>G40</f>
        <v>1.1297807720604767</v>
      </c>
      <c r="L85" s="19"/>
      <c r="M85" s="19">
        <f>O40</f>
        <v>0.64287984196726766</v>
      </c>
      <c r="N85" s="19">
        <f>S40</f>
        <v>0</v>
      </c>
      <c r="O85" s="19">
        <f>F41</f>
        <v>3.6405800784287861</v>
      </c>
      <c r="P85" s="19">
        <f>J41</f>
        <v>0</v>
      </c>
      <c r="Q85" s="19">
        <f>N41</f>
        <v>-3.5081645548507803</v>
      </c>
      <c r="R85" s="19">
        <f>R41</f>
        <v>0</v>
      </c>
      <c r="W85" t="str">
        <f t="shared" si="9"/>
        <v>-0.343481046803741, 2.62235039668198, -54.5904833803419, 5.99902156684161</v>
      </c>
      <c r="X85" t="str">
        <f t="shared" si="9"/>
        <v>No corrío (n = 232), 0, 0, 0</v>
      </c>
      <c r="Y85" t="str">
        <f t="shared" si="9"/>
        <v>-14.4817904665056, -20.4981632582736, -31.2801196307919, 1.29819686593095</v>
      </c>
      <c r="Z85" t="str">
        <f t="shared" si="9"/>
        <v>0, 0, 0, 0</v>
      </c>
      <c r="AA85" t="str">
        <f t="shared" si="9"/>
        <v>1.33941856611952, 1.69445543998915, 6.8127239746844, 1.12978077206048</v>
      </c>
      <c r="AB85" t="str">
        <f t="shared" si="9"/>
        <v xml:space="preserve">0, , , </v>
      </c>
      <c r="AC85" t="str">
        <f t="shared" si="9"/>
        <v>1.83631017847553, 2.56797460682362, 3.90143684411291, 0.642879841967268</v>
      </c>
      <c r="AD85" t="str">
        <f t="shared" si="9"/>
        <v>0, 0, 0, 0</v>
      </c>
      <c r="AE85" t="str">
        <f t="shared" si="9"/>
        <v>22.0459977221046, 33.2422552623445, 34.447527499582, 3.64058007842879</v>
      </c>
      <c r="AF85" t="str">
        <f t="shared" si="9"/>
        <v>0, 0, 0, 0</v>
      </c>
      <c r="AG85" t="str">
        <f t="shared" si="9"/>
        <v>-11.2419644156642, 16.4111313554758, 13.2347771108993, -3.50816455485078</v>
      </c>
      <c r="AH85" s="16" t="str">
        <f t="shared" si="9"/>
        <v>0, 0, 0, 0</v>
      </c>
    </row>
    <row r="86" spans="5:34" x14ac:dyDescent="0.25">
      <c r="E86" s="15">
        <v>2</v>
      </c>
      <c r="F86" t="s">
        <v>98</v>
      </c>
      <c r="G86" s="19">
        <f>F42</f>
        <v>6.7587250468514384</v>
      </c>
      <c r="H86" s="19">
        <f>J42</f>
        <v>0</v>
      </c>
      <c r="I86" s="19">
        <f>N42</f>
        <v>5.5690466689923337</v>
      </c>
      <c r="J86" s="19">
        <f>R42</f>
        <v>0</v>
      </c>
      <c r="K86" s="19">
        <f>G42</f>
        <v>1.2019431005572541</v>
      </c>
      <c r="L86" s="19"/>
      <c r="M86" s="19">
        <f>O42</f>
        <v>0.98892065610732216</v>
      </c>
      <c r="N86" s="19">
        <f>S42</f>
        <v>0</v>
      </c>
      <c r="O86" s="19">
        <f>F43</f>
        <v>8.0032315054638143</v>
      </c>
      <c r="P86" s="19">
        <f>J43</f>
        <v>0</v>
      </c>
      <c r="Q86" s="19">
        <f>N43</f>
        <v>-7.0268686618776943</v>
      </c>
      <c r="R86" s="19">
        <f>R43</f>
        <v>0</v>
      </c>
      <c r="W86" t="str">
        <f t="shared" si="9"/>
        <v>-0.343481046803741, 2.62235039668198, -54.5904833803419, 5.99902156684161, 6.75872504685144</v>
      </c>
      <c r="X86" t="str">
        <f t="shared" si="9"/>
        <v>No corrío (n = 232), 0, 0, 0, 0</v>
      </c>
      <c r="Y86" t="str">
        <f t="shared" si="9"/>
        <v>-14.4817904665056, -20.4981632582736, -31.2801196307919, 1.29819686593095, 5.56904666899233</v>
      </c>
      <c r="Z86" t="str">
        <f t="shared" si="9"/>
        <v>0, 0, 0, 0, 0</v>
      </c>
      <c r="AA86" t="str">
        <f t="shared" si="9"/>
        <v>1.33941856611952, 1.69445543998915, 6.8127239746844, 1.12978077206048, 1.20194310055725</v>
      </c>
      <c r="AB86" t="str">
        <f t="shared" si="9"/>
        <v xml:space="preserve">0, , , , </v>
      </c>
      <c r="AC86" t="str">
        <f t="shared" si="9"/>
        <v>1.83631017847553, 2.56797460682362, 3.90143684411291, 0.642879841967268, 0.988920656107322</v>
      </c>
      <c r="AD86" t="str">
        <f t="shared" si="9"/>
        <v>0, 0, 0, 0, 0</v>
      </c>
      <c r="AE86" t="str">
        <f t="shared" si="9"/>
        <v>22.0459977221046, 33.2422552623445, 34.447527499582, 3.64058007842879, 8.00323150546381</v>
      </c>
      <c r="AF86" t="str">
        <f t="shared" si="9"/>
        <v>0, 0, 0, 0, 0</v>
      </c>
      <c r="AG86" t="str">
        <f t="shared" si="9"/>
        <v>-11.2419644156642, 16.4111313554758, 13.2347771108993, -3.50816455485078, -7.02686866187769</v>
      </c>
      <c r="AH86" s="16" t="str">
        <f t="shared" si="9"/>
        <v>0, 0, 0, 0, 0</v>
      </c>
    </row>
    <row r="87" spans="5:34" x14ac:dyDescent="0.25">
      <c r="E87" s="15">
        <v>2</v>
      </c>
      <c r="F87" t="s">
        <v>99</v>
      </c>
      <c r="G87" s="19">
        <f>F44</f>
        <v>6.3136695705140351</v>
      </c>
      <c r="H87" s="19">
        <f>J44</f>
        <v>0</v>
      </c>
      <c r="I87" s="19">
        <f>N44</f>
        <v>3.51674933884077</v>
      </c>
      <c r="J87" s="19">
        <f>R44</f>
        <v>0</v>
      </c>
      <c r="K87" s="19">
        <f>G44</f>
        <v>1.1459628338697778</v>
      </c>
      <c r="L87" s="19"/>
      <c r="M87" s="19">
        <f>O44</f>
        <v>0.71696642595430904</v>
      </c>
      <c r="N87" s="19">
        <f>S44</f>
        <v>0</v>
      </c>
      <c r="O87" s="19">
        <f>F45</f>
        <v>-1.936543341083534</v>
      </c>
      <c r="P87" s="19">
        <f>J45</f>
        <v>0</v>
      </c>
      <c r="Q87" s="19">
        <f>N45</f>
        <v>4.1056550747818159</v>
      </c>
      <c r="R87" s="19">
        <f>R45</f>
        <v>0</v>
      </c>
      <c r="W87" t="str">
        <f t="shared" si="9"/>
        <v>-0.343481046803741, 2.62235039668198, -54.5904833803419, 5.99902156684161, 6.75872504685144, 6.31366957051404</v>
      </c>
      <c r="X87" t="str">
        <f t="shared" si="9"/>
        <v>No corrío (n = 232), 0, 0, 0, 0, 0</v>
      </c>
      <c r="Y87" t="str">
        <f t="shared" si="9"/>
        <v>-14.4817904665056, -20.4981632582736, -31.2801196307919, 1.29819686593095, 5.56904666899233, 3.51674933884077</v>
      </c>
      <c r="Z87" t="str">
        <f t="shared" si="9"/>
        <v>0, 0, 0, 0, 0, 0</v>
      </c>
      <c r="AA87" t="str">
        <f t="shared" si="9"/>
        <v>1.33941856611952, 1.69445543998915, 6.8127239746844, 1.12978077206048, 1.20194310055725, 1.14596283386978</v>
      </c>
      <c r="AB87" t="str">
        <f t="shared" si="9"/>
        <v xml:space="preserve">0, , , , , </v>
      </c>
      <c r="AC87" t="str">
        <f t="shared" si="9"/>
        <v>1.83631017847553, 2.56797460682362, 3.90143684411291, 0.642879841967268, 0.988920656107322, 0.716966425954309</v>
      </c>
      <c r="AD87" t="str">
        <f t="shared" si="9"/>
        <v>0, 0, 0, 0, 0, 0</v>
      </c>
      <c r="AE87" t="str">
        <f t="shared" si="9"/>
        <v>22.0459977221046, 33.2422552623445, 34.447527499582, 3.64058007842879, 8.00323150546381, -1.93654334108353</v>
      </c>
      <c r="AF87" t="str">
        <f t="shared" si="9"/>
        <v>0, 0, 0, 0, 0, 0</v>
      </c>
      <c r="AG87" t="str">
        <f t="shared" si="9"/>
        <v>-11.2419644156642, 16.4111313554758, 13.2347771108993, -3.50816455485078, -7.02686866187769, 4.10565507478182</v>
      </c>
      <c r="AH87" s="16" t="str">
        <f t="shared" si="9"/>
        <v>0, 0, 0, 0, 0, 0</v>
      </c>
    </row>
    <row r="88" spans="5:34" x14ac:dyDescent="0.25">
      <c r="E88" s="15">
        <v>3</v>
      </c>
      <c r="F88" t="s">
        <v>27</v>
      </c>
      <c r="G88" s="19">
        <f>F46</f>
        <v>3.8088134425945341</v>
      </c>
      <c r="H88" s="19">
        <f>J46</f>
        <v>0</v>
      </c>
      <c r="I88" s="19">
        <f>N46</f>
        <v>2.8356227911217964</v>
      </c>
      <c r="J88" s="19">
        <f>R46</f>
        <v>0</v>
      </c>
      <c r="K88" s="19">
        <f>G46</f>
        <v>0.83739757734014442</v>
      </c>
      <c r="L88" s="19"/>
      <c r="M88" s="19">
        <f>O46</f>
        <v>0.60826907028557597</v>
      </c>
      <c r="N88" s="19">
        <f>S46</f>
        <v>0</v>
      </c>
      <c r="O88" s="19">
        <f>F47</f>
        <v>5.0253797020966484</v>
      </c>
      <c r="P88" s="19">
        <f>J47</f>
        <v>0</v>
      </c>
      <c r="Q88" s="19">
        <f>N47</f>
        <v>-4.6892391524904884</v>
      </c>
      <c r="R88" s="19">
        <f>R47</f>
        <v>0</v>
      </c>
      <c r="W88" t="str">
        <f t="shared" si="9"/>
        <v>-0.343481046803741, 2.62235039668198, -54.5904833803419, 5.99902156684161, 6.75872504685144, 6.31366957051404, 3.80881344259453</v>
      </c>
      <c r="X88" t="str">
        <f t="shared" si="9"/>
        <v>No corrío (n = 232), 0, 0, 0, 0, 0, 0</v>
      </c>
      <c r="Y88" t="str">
        <f t="shared" si="9"/>
        <v>-14.4817904665056, -20.4981632582736, -31.2801196307919, 1.29819686593095, 5.56904666899233, 3.51674933884077, 2.8356227911218</v>
      </c>
      <c r="Z88" t="str">
        <f t="shared" si="9"/>
        <v>0, 0, 0, 0, 0, 0, 0</v>
      </c>
      <c r="AA88" t="str">
        <f t="shared" si="9"/>
        <v>1.33941856611952, 1.69445543998915, 6.8127239746844, 1.12978077206048, 1.20194310055725, 1.14596283386978, 0.837397577340144</v>
      </c>
      <c r="AB88" t="str">
        <f t="shared" si="9"/>
        <v xml:space="preserve">0, , , , , , </v>
      </c>
      <c r="AC88" t="str">
        <f t="shared" si="9"/>
        <v>1.83631017847553, 2.56797460682362, 3.90143684411291, 0.642879841967268, 0.988920656107322, 0.716966425954309, 0.608269070285576</v>
      </c>
      <c r="AD88" t="str">
        <f t="shared" si="9"/>
        <v>0, 0, 0, 0, 0, 0, 0</v>
      </c>
      <c r="AE88" t="str">
        <f t="shared" si="9"/>
        <v>22.0459977221046, 33.2422552623445, 34.447527499582, 3.64058007842879, 8.00323150546381, -1.93654334108353, 5.02537970209665</v>
      </c>
      <c r="AF88" t="str">
        <f t="shared" si="9"/>
        <v>0, 0, 0, 0, 0, 0, 0</v>
      </c>
      <c r="AG88" t="str">
        <f t="shared" si="9"/>
        <v>-11.2419644156642, 16.4111313554758, 13.2347771108993, -3.50816455485078, -7.02686866187769, 4.10565507478182, -4.68923915249049</v>
      </c>
      <c r="AH88" s="16" t="str">
        <f t="shared" si="9"/>
        <v>0, 0, 0, 0, 0, 0, 0</v>
      </c>
    </row>
    <row r="89" spans="5:34" x14ac:dyDescent="0.25">
      <c r="E89" s="15">
        <v>3</v>
      </c>
      <c r="F89" t="s">
        <v>29</v>
      </c>
      <c r="G89" s="19">
        <f>F48</f>
        <v>0.94218663276460579</v>
      </c>
      <c r="H89" s="19">
        <f>J48</f>
        <v>0</v>
      </c>
      <c r="I89" s="19">
        <f>N48</f>
        <v>0.39336859291736181</v>
      </c>
      <c r="J89" s="19">
        <f>R48</f>
        <v>0</v>
      </c>
      <c r="K89" s="19">
        <f>G48</f>
        <v>0.62654186441653037</v>
      </c>
      <c r="L89" s="19"/>
      <c r="M89" s="19">
        <f>O48</f>
        <v>0.44663787193774596</v>
      </c>
      <c r="N89" s="19">
        <f>S48</f>
        <v>0</v>
      </c>
      <c r="O89" s="19">
        <f>F49</f>
        <v>9.8652981590294772E-2</v>
      </c>
      <c r="P89" s="19">
        <f>J49</f>
        <v>0</v>
      </c>
      <c r="Q89" s="19">
        <f>N49</f>
        <v>2.6423900725431282</v>
      </c>
      <c r="R89" s="19">
        <f>R49</f>
        <v>0</v>
      </c>
      <c r="W89" t="str">
        <f t="shared" si="9"/>
        <v>-0.343481046803741, 2.62235039668198, -54.5904833803419, 5.99902156684161, 6.75872504685144, 6.31366957051404, 3.80881344259453, 0.942186632764606</v>
      </c>
      <c r="X89" t="str">
        <f t="shared" si="9"/>
        <v>No corrío (n = 232), 0, 0, 0, 0, 0, 0, 0</v>
      </c>
      <c r="Y89" t="str">
        <f t="shared" si="9"/>
        <v>-14.4817904665056, -20.4981632582736, -31.2801196307919, 1.29819686593095, 5.56904666899233, 3.51674933884077, 2.8356227911218, 0.393368592917362</v>
      </c>
      <c r="Z89" t="str">
        <f t="shared" si="9"/>
        <v>0, 0, 0, 0, 0, 0, 0, 0</v>
      </c>
      <c r="AA89" t="str">
        <f t="shared" si="9"/>
        <v>1.33941856611952, 1.69445543998915, 6.8127239746844, 1.12978077206048, 1.20194310055725, 1.14596283386978, 0.837397577340144, 0.62654186441653</v>
      </c>
      <c r="AB89" t="str">
        <f t="shared" si="9"/>
        <v xml:space="preserve">0, , , , , , , </v>
      </c>
      <c r="AC89" t="str">
        <f t="shared" si="9"/>
        <v>1.83631017847553, 2.56797460682362, 3.90143684411291, 0.642879841967268, 0.988920656107322, 0.716966425954309, 0.608269070285576, 0.446637871937746</v>
      </c>
      <c r="AD89" t="str">
        <f t="shared" si="9"/>
        <v>0, 0, 0, 0, 0, 0, 0, 0</v>
      </c>
      <c r="AE89" t="str">
        <f t="shared" si="9"/>
        <v>22.0459977221046, 33.2422552623445, 34.447527499582, 3.64058007842879, 8.00323150546381, -1.93654334108353, 5.02537970209665, 0.0986529815902948</v>
      </c>
      <c r="AF89" t="str">
        <f t="shared" si="9"/>
        <v>0, 0, 0, 0, 0, 0, 0, 0</v>
      </c>
      <c r="AG89" t="str">
        <f t="shared" si="9"/>
        <v>-11.2419644156642, 16.4111313554758, 13.2347771108993, -3.50816455485078, -7.02686866187769, 4.10565507478182, -4.68923915249049, 2.64239007254313</v>
      </c>
      <c r="AH89" s="16" t="str">
        <f t="shared" si="9"/>
        <v>0, 0, 0, 0, 0, 0, 0, 0</v>
      </c>
    </row>
    <row r="90" spans="5:34" x14ac:dyDescent="0.25">
      <c r="E90" s="15">
        <v>4</v>
      </c>
      <c r="F90" t="s">
        <v>100</v>
      </c>
      <c r="G90" s="19">
        <f>F50</f>
        <v>5.936072769306828E-3</v>
      </c>
      <c r="H90" s="19">
        <f>J50</f>
        <v>0</v>
      </c>
      <c r="I90" s="19">
        <f>N50</f>
        <v>-0.62042920246095923</v>
      </c>
      <c r="J90" s="19">
        <f>R50</f>
        <v>0</v>
      </c>
      <c r="K90" s="19">
        <f>G50</f>
        <v>0.59141588074858664</v>
      </c>
      <c r="L90" s="19"/>
      <c r="M90" s="19">
        <f>O50</f>
        <v>0.466677666209529</v>
      </c>
      <c r="N90" s="19">
        <f>S50</f>
        <v>0</v>
      </c>
      <c r="O90" s="19">
        <f>F51</f>
        <v>-5.8072281722585899</v>
      </c>
      <c r="P90" s="19">
        <f>J51</f>
        <v>0</v>
      </c>
      <c r="Q90" s="19">
        <f>N51</f>
        <v>3.4748088376992321</v>
      </c>
      <c r="R90" s="19">
        <f>R51</f>
        <v>0</v>
      </c>
      <c r="W90" t="str">
        <f t="shared" si="9"/>
        <v>-0.343481046803741, 2.62235039668198, -54.5904833803419, 5.99902156684161, 6.75872504685144, 6.31366957051404, 3.80881344259453, 0.942186632764606, 0.00593607276930683</v>
      </c>
      <c r="X90" t="str">
        <f t="shared" si="9"/>
        <v>No corrío (n = 232), 0, 0, 0, 0, 0, 0, 0, 0</v>
      </c>
      <c r="Y90" t="str">
        <f t="shared" si="9"/>
        <v>-14.4817904665056, -20.4981632582736, -31.2801196307919, 1.29819686593095, 5.56904666899233, 3.51674933884077, 2.8356227911218, 0.393368592917362, -0.620429202460959</v>
      </c>
      <c r="Z90" t="str">
        <f t="shared" si="9"/>
        <v>0, 0, 0, 0, 0, 0, 0, 0, 0</v>
      </c>
      <c r="AA90" t="str">
        <f>_xlfn.CONCAT(AA89,", ",K90)</f>
        <v>1.33941856611952, 1.69445543998915, 6.8127239746844, 1.12978077206048, 1.20194310055725, 1.14596283386978, 0.837397577340144, 0.62654186441653, 0.591415880748587</v>
      </c>
      <c r="AB90" t="str">
        <f t="shared" si="9"/>
        <v xml:space="preserve">0, , , , , , , , </v>
      </c>
      <c r="AC90" t="str">
        <f t="shared" si="9"/>
        <v>1.83631017847553, 2.56797460682362, 3.90143684411291, 0.642879841967268, 0.988920656107322, 0.716966425954309, 0.608269070285576, 0.446637871937746, 0.466677666209529</v>
      </c>
      <c r="AD90" t="str">
        <f t="shared" si="9"/>
        <v>0, 0, 0, 0, 0, 0, 0, 0, 0</v>
      </c>
      <c r="AE90" t="str">
        <f t="shared" si="9"/>
        <v>22.0459977221046, 33.2422552623445, 34.447527499582, 3.64058007842879, 8.00323150546381, -1.93654334108353, 5.02537970209665, 0.0986529815902948, -5.80722817225859</v>
      </c>
      <c r="AF90" t="str">
        <f t="shared" si="9"/>
        <v>0, 0, 0, 0, 0, 0, 0, 0, 0</v>
      </c>
      <c r="AG90" t="str">
        <f t="shared" si="9"/>
        <v>-11.2419644156642, 16.4111313554758, 13.2347771108993, -3.50816455485078, -7.02686866187769, 4.10565507478182, -4.68923915249049, 2.64239007254313, 3.47480883769923</v>
      </c>
      <c r="AH90" s="16" t="str">
        <f t="shared" si="9"/>
        <v>0, 0, 0, 0, 0, 0, 0, 0, 0</v>
      </c>
    </row>
    <row r="91" spans="5:34" x14ac:dyDescent="0.25">
      <c r="E91" s="15">
        <v>4</v>
      </c>
      <c r="F91" t="s">
        <v>101</v>
      </c>
      <c r="G91" s="19">
        <f>F52</f>
        <v>0.82957531869123124</v>
      </c>
      <c r="H91" s="19">
        <f>J52</f>
        <v>0</v>
      </c>
      <c r="I91" s="19">
        <f>N52</f>
        <v>-0.15139812692569807</v>
      </c>
      <c r="J91" s="19">
        <f>R52</f>
        <v>0</v>
      </c>
      <c r="K91" s="19">
        <f>G52</f>
        <v>0.59401182138382824</v>
      </c>
      <c r="L91" s="19"/>
      <c r="M91" s="19">
        <f>O52</f>
        <v>0.44903404697932126</v>
      </c>
      <c r="N91" s="19">
        <f>S52</f>
        <v>0</v>
      </c>
      <c r="O91" s="19">
        <f>F53</f>
        <v>-8.7055324865388997</v>
      </c>
      <c r="P91" s="19">
        <f>J53</f>
        <v>0</v>
      </c>
      <c r="Q91" s="19">
        <f>N53</f>
        <v>-4.3492496925138715</v>
      </c>
      <c r="R91" s="19">
        <f>R53</f>
        <v>0</v>
      </c>
      <c r="W91" s="26" t="s">
        <v>162</v>
      </c>
      <c r="X91" s="26" t="s">
        <v>163</v>
      </c>
      <c r="Y91" s="26" t="s">
        <v>164</v>
      </c>
      <c r="Z91" s="26" t="s">
        <v>129</v>
      </c>
      <c r="AA91" s="27" t="s">
        <v>165</v>
      </c>
      <c r="AB91" s="27" t="s">
        <v>166</v>
      </c>
      <c r="AC91" s="27" t="s">
        <v>167</v>
      </c>
      <c r="AD91" s="27" t="s">
        <v>129</v>
      </c>
      <c r="AE91" s="10" t="s">
        <v>168</v>
      </c>
      <c r="AF91" s="10" t="s">
        <v>129</v>
      </c>
      <c r="AG91" s="10" t="s">
        <v>169</v>
      </c>
      <c r="AH91" s="31" t="s">
        <v>129</v>
      </c>
    </row>
    <row r="92" spans="5:34" x14ac:dyDescent="0.25">
      <c r="E92" s="15">
        <v>5</v>
      </c>
      <c r="F92" t="s">
        <v>102</v>
      </c>
      <c r="G92" s="19">
        <f>F54</f>
        <v>17.352903256811217</v>
      </c>
      <c r="H92" s="19">
        <f>J54</f>
        <v>0</v>
      </c>
      <c r="I92" s="19">
        <f>N54</f>
        <v>15.477222657293524</v>
      </c>
      <c r="J92" s="19">
        <f>R54</f>
        <v>0</v>
      </c>
      <c r="K92" s="19">
        <f>G54</f>
        <v>1.6808953164724172</v>
      </c>
      <c r="L92" s="19"/>
      <c r="M92" s="19">
        <f>O54</f>
        <v>1.8926613313980414</v>
      </c>
      <c r="N92" s="19">
        <f>S54</f>
        <v>0</v>
      </c>
      <c r="O92" s="19"/>
      <c r="R92" s="19"/>
      <c r="S92" s="19"/>
      <c r="T92" s="19"/>
      <c r="U92" s="19"/>
      <c r="AH92" s="16"/>
    </row>
    <row r="93" spans="5:34" x14ac:dyDescent="0.25">
      <c r="E93" s="15">
        <v>5</v>
      </c>
      <c r="F93" t="s">
        <v>103</v>
      </c>
      <c r="G93" s="19">
        <f>F55</f>
        <v>20.749683186098999</v>
      </c>
      <c r="H93" s="19">
        <f>J55</f>
        <v>0</v>
      </c>
      <c r="I93" s="19">
        <f>N55</f>
        <v>16.26448710829499</v>
      </c>
      <c r="J93" s="19">
        <f>R55</f>
        <v>0</v>
      </c>
      <c r="K93" s="19">
        <f>G55</f>
        <v>2.007285475306384</v>
      </c>
      <c r="L93" s="19"/>
      <c r="M93" s="19">
        <f>O55</f>
        <v>1.9945399030245299</v>
      </c>
      <c r="N93" s="19">
        <f>S55</f>
        <v>0</v>
      </c>
      <c r="O93" s="19"/>
      <c r="AH93" s="16"/>
    </row>
    <row r="94" spans="5:34" ht="15.75" thickBot="1" x14ac:dyDescent="0.3">
      <c r="E94" s="20">
        <v>5</v>
      </c>
      <c r="F94" s="22" t="s">
        <v>104</v>
      </c>
      <c r="G94" s="21">
        <f>F56</f>
        <v>-54.247002333538163</v>
      </c>
      <c r="H94" s="21">
        <f>J56</f>
        <v>0</v>
      </c>
      <c r="I94" s="21">
        <f>N56</f>
        <v>-16.798329164286233</v>
      </c>
      <c r="J94" s="21">
        <f>R56</f>
        <v>0</v>
      </c>
      <c r="K94" s="21">
        <f>G56</f>
        <v>10.500383506031101</v>
      </c>
      <c r="L94" s="21"/>
      <c r="M94" s="21">
        <f>O56</f>
        <v>3.089717359486142</v>
      </c>
      <c r="N94" s="21">
        <f>S56</f>
        <v>0</v>
      </c>
      <c r="O94" s="21"/>
      <c r="P94" s="22"/>
      <c r="Q94" s="22"/>
      <c r="R94" s="22"/>
      <c r="S94" s="21"/>
      <c r="T94" s="21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6308-E3BB-4E19-8FAD-D1A852646200}">
  <dimension ref="A1:AH94"/>
  <sheetViews>
    <sheetView tabSelected="1" topLeftCell="F39" workbookViewId="0">
      <selection activeCell="V53" sqref="V53"/>
    </sheetView>
  </sheetViews>
  <sheetFormatPr defaultColWidth="9" defaultRowHeight="15" x14ac:dyDescent="0.25"/>
  <cols>
    <col min="1" max="1" width="9.85546875" customWidth="1"/>
    <col min="2" max="2" width="6.85546875" hidden="1" customWidth="1"/>
    <col min="3" max="3" width="28.28515625" customWidth="1"/>
  </cols>
  <sheetData>
    <row r="1" spans="1:21" x14ac:dyDescent="0.25">
      <c r="B1" t="s">
        <v>35</v>
      </c>
      <c r="F1" s="2" t="s">
        <v>0</v>
      </c>
      <c r="G1" s="1"/>
      <c r="J1" s="1" t="s">
        <v>80</v>
      </c>
      <c r="N1" s="1" t="s">
        <v>2</v>
      </c>
      <c r="R1" s="8" t="s">
        <v>81</v>
      </c>
    </row>
    <row r="2" spans="1:21" x14ac:dyDescent="0.25">
      <c r="A2" s="2"/>
      <c r="C2" t="s">
        <v>3</v>
      </c>
      <c r="F2" t="s">
        <v>4</v>
      </c>
      <c r="G2" t="s">
        <v>5</v>
      </c>
      <c r="H2" t="s">
        <v>6</v>
      </c>
      <c r="J2" t="s">
        <v>4</v>
      </c>
      <c r="K2" t="s">
        <v>5</v>
      </c>
      <c r="L2" t="s">
        <v>6</v>
      </c>
      <c r="N2" t="s">
        <v>4</v>
      </c>
      <c r="O2" t="s">
        <v>5</v>
      </c>
      <c r="P2" t="s">
        <v>6</v>
      </c>
      <c r="R2" t="s">
        <v>4</v>
      </c>
      <c r="S2" t="s">
        <v>5</v>
      </c>
      <c r="T2" t="s">
        <v>6</v>
      </c>
    </row>
    <row r="3" spans="1:21" x14ac:dyDescent="0.25">
      <c r="A3" s="2" t="s">
        <v>112</v>
      </c>
    </row>
    <row r="4" spans="1:21" x14ac:dyDescent="0.25">
      <c r="A4" s="2"/>
      <c r="B4" s="4" t="s">
        <v>13</v>
      </c>
      <c r="C4" s="39" t="s">
        <v>57</v>
      </c>
      <c r="F4">
        <v>-1.5737653662755275</v>
      </c>
      <c r="G4">
        <v>1.7697631686294604</v>
      </c>
      <c r="H4">
        <v>-0.88925195990731487</v>
      </c>
      <c r="I4" t="str">
        <f>IF(ABS(H4)&gt;2.576,"***",IF(ABS(H4)&gt;1.96,"**",IF(ABS(H4)&gt;1.645,"*","")))</f>
        <v/>
      </c>
      <c r="J4">
        <v>-86.78717038205923</v>
      </c>
      <c r="K4">
        <v>156.9624549927361</v>
      </c>
      <c r="L4">
        <v>-0.55291674933394463</v>
      </c>
      <c r="M4" t="str">
        <f>IF(ABS(L4)&gt;2.576,"***",IF(ABS(L4)&gt;1.96,"**",IF(ABS(L4)&gt;1.645,"*","")))</f>
        <v/>
      </c>
      <c r="N4">
        <v>-16.58812898435453</v>
      </c>
      <c r="O4">
        <v>2.163491943112736</v>
      </c>
      <c r="P4">
        <v>-7.6672940877645592</v>
      </c>
      <c r="Q4" t="str">
        <f>IF(ABS(P4)&gt;2.576,"***",IF(ABS(P4)&gt;1.96,"**",IF(ABS(P4)&gt;1.645,"*","")))</f>
        <v>***</v>
      </c>
      <c r="R4">
        <v>-30.566701381077181</v>
      </c>
      <c r="S4">
        <v>6.8743063376937599</v>
      </c>
      <c r="T4">
        <v>-4.4465142924270529</v>
      </c>
      <c r="U4" t="str">
        <f>IF(ABS(T4)&gt;2.576,"***",IF(ABS(T4)&gt;1.96,"**",IF(ABS(T4)&gt;1.645,"*","")))</f>
        <v>***</v>
      </c>
    </row>
    <row r="5" spans="1:21" x14ac:dyDescent="0.25">
      <c r="A5" s="2"/>
      <c r="C5" s="39" t="s">
        <v>58</v>
      </c>
      <c r="F5">
        <v>-31.13660982493554</v>
      </c>
      <c r="G5">
        <v>5.9062471885259136</v>
      </c>
      <c r="H5">
        <v>-5.2718094639561883</v>
      </c>
      <c r="I5" t="str">
        <f t="shared" ref="I5:I30" si="0">IF(ABS(H5)&gt;2.576,"***",IF(ABS(H5)&gt;1.96,"**",IF(ABS(H5)&gt;1.645,"*","")))</f>
        <v>***</v>
      </c>
      <c r="J5">
        <v>141.66931590866517</v>
      </c>
      <c r="K5">
        <v>260.68545879167777</v>
      </c>
      <c r="L5">
        <v>0.54344924555948371</v>
      </c>
      <c r="M5" t="str">
        <f t="shared" ref="M5:M30" si="1">IF(ABS(L5)&gt;2.576,"***",IF(ABS(L5)&gt;1.96,"**",IF(ABS(L5)&gt;1.645,"*","")))</f>
        <v/>
      </c>
      <c r="N5">
        <v>-15.548649344428988</v>
      </c>
      <c r="O5">
        <v>2.1445438404809201</v>
      </c>
      <c r="P5">
        <v>-7.2503294411282164</v>
      </c>
      <c r="Q5" t="str">
        <f t="shared" ref="Q5:Q30" si="2">IF(ABS(P5)&gt;2.576,"***",IF(ABS(P5)&gt;1.96,"**",IF(ABS(P5)&gt;1.645,"*","")))</f>
        <v>***</v>
      </c>
      <c r="R5">
        <v>55.838006683744901</v>
      </c>
      <c r="S5">
        <v>13.589319842822782</v>
      </c>
      <c r="T5">
        <v>4.1089625771988736</v>
      </c>
      <c r="U5" t="str">
        <f t="shared" ref="U5:U30" si="3">IF(ABS(T5)&gt;2.576,"***",IF(ABS(T5)&gt;1.96,"**",IF(ABS(T5)&gt;1.645,"*","")))</f>
        <v>***</v>
      </c>
    </row>
    <row r="6" spans="1:21" x14ac:dyDescent="0.25">
      <c r="A6" s="2"/>
      <c r="B6" s="4" t="s">
        <v>15</v>
      </c>
      <c r="C6" s="39" t="s">
        <v>59</v>
      </c>
      <c r="F6">
        <v>-1.6248796926192157</v>
      </c>
      <c r="G6">
        <v>1.6890676482659084</v>
      </c>
      <c r="H6">
        <v>-0.96199799592835045</v>
      </c>
      <c r="I6" t="str">
        <f t="shared" si="0"/>
        <v/>
      </c>
      <c r="J6">
        <v>-99.193391631015061</v>
      </c>
      <c r="K6">
        <v>181.80609638060645</v>
      </c>
      <c r="L6">
        <v>-0.54559991994633783</v>
      </c>
      <c r="M6" t="str">
        <f t="shared" si="1"/>
        <v/>
      </c>
      <c r="N6">
        <v>-21.014056390830159</v>
      </c>
      <c r="O6">
        <v>2.8432359315013223</v>
      </c>
      <c r="P6">
        <v>-7.3908943531583891</v>
      </c>
      <c r="Q6" t="str">
        <f t="shared" si="2"/>
        <v>***</v>
      </c>
      <c r="R6">
        <v>-19.140681097247537</v>
      </c>
      <c r="S6">
        <v>4.5331703147788733</v>
      </c>
      <c r="T6">
        <v>-4.2223609015628192</v>
      </c>
      <c r="U6" t="str">
        <f t="shared" si="3"/>
        <v>***</v>
      </c>
    </row>
    <row r="7" spans="1:21" x14ac:dyDescent="0.25">
      <c r="A7" s="2"/>
      <c r="C7" s="39" t="s">
        <v>60</v>
      </c>
      <c r="F7">
        <v>36.910492534592599</v>
      </c>
      <c r="G7">
        <v>6.9565187250331393</v>
      </c>
      <c r="H7">
        <v>5.3058856007631539</v>
      </c>
      <c r="I7" t="str">
        <f t="shared" si="0"/>
        <v>***</v>
      </c>
      <c r="J7">
        <v>136.97402328545783</v>
      </c>
      <c r="K7">
        <v>253.29138098451281</v>
      </c>
      <c r="L7">
        <v>0.54077648735245742</v>
      </c>
      <c r="M7" t="str">
        <f t="shared" si="1"/>
        <v/>
      </c>
      <c r="N7">
        <v>-17.806190636136435</v>
      </c>
      <c r="O7">
        <v>2.4517989729119858</v>
      </c>
      <c r="P7">
        <v>-7.2625002428270591</v>
      </c>
      <c r="Q7" t="str">
        <f t="shared" si="2"/>
        <v>***</v>
      </c>
      <c r="R7">
        <v>-51.761488563760281</v>
      </c>
      <c r="S7">
        <v>12.527427023221918</v>
      </c>
      <c r="T7">
        <v>-4.1318531305599091</v>
      </c>
      <c r="U7" t="str">
        <f t="shared" si="3"/>
        <v>***</v>
      </c>
    </row>
    <row r="8" spans="1:21" x14ac:dyDescent="0.25">
      <c r="A8" s="2"/>
      <c r="B8" s="4" t="s">
        <v>17</v>
      </c>
      <c r="C8" s="39" t="s">
        <v>61</v>
      </c>
      <c r="F8">
        <v>-59.674798917557538</v>
      </c>
      <c r="G8">
        <v>10.659218571027488</v>
      </c>
      <c r="H8">
        <v>-5.5984215465623226</v>
      </c>
      <c r="I8" t="str">
        <f t="shared" si="0"/>
        <v>***</v>
      </c>
      <c r="J8">
        <v>213.70830706550942</v>
      </c>
      <c r="K8">
        <v>393.69725118766439</v>
      </c>
      <c r="L8">
        <v>0.54282397558229478</v>
      </c>
      <c r="M8" t="str">
        <f t="shared" si="1"/>
        <v/>
      </c>
      <c r="N8">
        <v>-32.541943558702265</v>
      </c>
      <c r="O8">
        <v>4.228366068248758</v>
      </c>
      <c r="P8">
        <v>-7.6961036564603811</v>
      </c>
      <c r="Q8" t="str">
        <f t="shared" si="2"/>
        <v>***</v>
      </c>
      <c r="R8">
        <v>-18.210358979745596</v>
      </c>
      <c r="S8">
        <v>4.9273138709494155</v>
      </c>
      <c r="T8">
        <v>-3.6957984526032939</v>
      </c>
      <c r="U8" t="str">
        <f t="shared" si="3"/>
        <v>***</v>
      </c>
    </row>
    <row r="9" spans="1:21" x14ac:dyDescent="0.25">
      <c r="A9" s="2"/>
      <c r="C9" s="39" t="s">
        <v>62</v>
      </c>
      <c r="F9">
        <v>-43.161213530406357</v>
      </c>
      <c r="G9">
        <v>7.9835147693716957</v>
      </c>
      <c r="H9">
        <v>-5.4062921879961854</v>
      </c>
      <c r="I9" t="str">
        <f t="shared" si="0"/>
        <v>***</v>
      </c>
      <c r="J9">
        <v>319.035882103593</v>
      </c>
      <c r="K9">
        <v>577.0453817984112</v>
      </c>
      <c r="L9">
        <v>0.5528783214749774</v>
      </c>
      <c r="M9" t="str">
        <f t="shared" si="1"/>
        <v/>
      </c>
      <c r="N9">
        <v>12.9550816967818</v>
      </c>
      <c r="O9">
        <v>2.0211300315227181</v>
      </c>
      <c r="P9">
        <v>6.4098209886186517</v>
      </c>
      <c r="Q9" t="str">
        <f t="shared" si="2"/>
        <v>***</v>
      </c>
      <c r="R9">
        <v>-85.116045761507564</v>
      </c>
      <c r="S9">
        <v>20.87018723222192</v>
      </c>
      <c r="T9">
        <v>-4.0783556378495307</v>
      </c>
      <c r="U9" t="str">
        <f t="shared" si="3"/>
        <v>***</v>
      </c>
    </row>
    <row r="10" spans="1:21" x14ac:dyDescent="0.25">
      <c r="A10" s="2"/>
      <c r="C10" s="39" t="s">
        <v>48</v>
      </c>
      <c r="F10">
        <v>21.544027300670919</v>
      </c>
      <c r="G10">
        <v>4.2547505016175453</v>
      </c>
      <c r="H10">
        <v>5.0635230649788854</v>
      </c>
      <c r="I10" t="str">
        <f t="shared" si="0"/>
        <v>***</v>
      </c>
      <c r="J10">
        <v>-2.137366951991384</v>
      </c>
      <c r="K10">
        <v>41.135184581803799</v>
      </c>
      <c r="L10">
        <v>-5.1959580921313038E-2</v>
      </c>
      <c r="M10" t="str">
        <f t="shared" si="1"/>
        <v/>
      </c>
      <c r="N10">
        <v>29.888011877789179</v>
      </c>
      <c r="O10">
        <v>3.2708205366143424</v>
      </c>
      <c r="P10">
        <v>9.1377718658714731</v>
      </c>
      <c r="Q10" t="str">
        <f t="shared" si="2"/>
        <v>***</v>
      </c>
      <c r="R10">
        <v>23.477854120497099</v>
      </c>
      <c r="S10">
        <v>5.317825160169444</v>
      </c>
      <c r="T10">
        <v>4.4149353191124856</v>
      </c>
      <c r="U10" t="str">
        <f t="shared" si="3"/>
        <v>***</v>
      </c>
    </row>
    <row r="11" spans="1:21" x14ac:dyDescent="0.25">
      <c r="A11" s="2"/>
      <c r="C11" s="39" t="s">
        <v>49</v>
      </c>
      <c r="F11">
        <v>-15.41549709106922</v>
      </c>
      <c r="G11">
        <v>1.4721387220430708</v>
      </c>
      <c r="H11">
        <v>-10.47149759750576</v>
      </c>
      <c r="I11" t="str">
        <f t="shared" si="0"/>
        <v>***</v>
      </c>
      <c r="J11">
        <v>-59.024487865187439</v>
      </c>
      <c r="K11">
        <v>11.393722220684721</v>
      </c>
      <c r="L11">
        <v>-5.1804394316399511</v>
      </c>
      <c r="M11" t="str">
        <f t="shared" si="1"/>
        <v>***</v>
      </c>
      <c r="N11">
        <v>-15.183760531984639</v>
      </c>
      <c r="O11">
        <v>1.6807091598942014</v>
      </c>
      <c r="P11">
        <v>-9.0341392159369427</v>
      </c>
      <c r="Q11" t="str">
        <f t="shared" si="2"/>
        <v>***</v>
      </c>
      <c r="R11">
        <v>29.806050196262021</v>
      </c>
      <c r="S11">
        <v>2.0421896361333318</v>
      </c>
      <c r="T11">
        <v>14.595143207511621</v>
      </c>
      <c r="U11" t="str">
        <f t="shared" si="3"/>
        <v>***</v>
      </c>
    </row>
    <row r="12" spans="1:21" x14ac:dyDescent="0.25">
      <c r="B12" t="s">
        <v>21</v>
      </c>
      <c r="C12" s="39" t="s">
        <v>63</v>
      </c>
      <c r="F12">
        <v>6.7972797060729189</v>
      </c>
      <c r="G12">
        <v>1.5496662621334198</v>
      </c>
      <c r="H12">
        <v>4.3862861779768814</v>
      </c>
      <c r="I12" t="str">
        <f t="shared" si="0"/>
        <v>***</v>
      </c>
      <c r="J12">
        <v>31.50487018556468</v>
      </c>
      <c r="K12">
        <v>57.914148357129456</v>
      </c>
      <c r="L12">
        <v>0.5439926352933464</v>
      </c>
      <c r="M12" t="str">
        <f t="shared" si="1"/>
        <v/>
      </c>
      <c r="N12">
        <v>2.6470591725994721</v>
      </c>
      <c r="O12">
        <v>0.74942195627444241</v>
      </c>
      <c r="P12">
        <v>3.5321345344065489</v>
      </c>
      <c r="Q12" t="str">
        <f t="shared" si="2"/>
        <v>***</v>
      </c>
      <c r="R12">
        <v>11.304924232516933</v>
      </c>
      <c r="S12">
        <v>2.8198786754590439</v>
      </c>
      <c r="T12">
        <v>4.0090108595458007</v>
      </c>
      <c r="U12" t="str">
        <f t="shared" si="3"/>
        <v>***</v>
      </c>
    </row>
    <row r="13" spans="1:21" x14ac:dyDescent="0.25">
      <c r="C13" s="39" t="s">
        <v>64</v>
      </c>
      <c r="F13">
        <v>-3.6966167776980443</v>
      </c>
      <c r="G13">
        <v>1.5799069911831907</v>
      </c>
      <c r="H13">
        <v>-2.339768605574466</v>
      </c>
      <c r="I13" t="str">
        <f t="shared" si="0"/>
        <v>**</v>
      </c>
      <c r="J13">
        <v>-39.91167006521168</v>
      </c>
      <c r="K13">
        <v>73.121240332850007</v>
      </c>
      <c r="L13">
        <v>-0.54582867964947812</v>
      </c>
      <c r="M13" t="str">
        <f t="shared" si="1"/>
        <v/>
      </c>
      <c r="N13">
        <v>-2.8952042722227262</v>
      </c>
      <c r="O13">
        <v>1.2303312867369989</v>
      </c>
      <c r="P13">
        <v>-2.353190805950478</v>
      </c>
      <c r="Q13" t="str">
        <f t="shared" si="2"/>
        <v>**</v>
      </c>
      <c r="R13">
        <v>1.1671178131055462</v>
      </c>
      <c r="S13">
        <v>0.90283026907376496</v>
      </c>
      <c r="T13">
        <v>1.29273225885849</v>
      </c>
      <c r="U13" t="str">
        <f t="shared" si="3"/>
        <v/>
      </c>
    </row>
    <row r="14" spans="1:21" x14ac:dyDescent="0.25">
      <c r="B14" t="s">
        <v>23</v>
      </c>
      <c r="C14" s="39" t="s">
        <v>65</v>
      </c>
      <c r="F14">
        <v>8.2603878402356816</v>
      </c>
      <c r="G14">
        <v>1.861370056558159</v>
      </c>
      <c r="H14">
        <v>4.4377998942939287</v>
      </c>
      <c r="I14" t="str">
        <f t="shared" si="0"/>
        <v>***</v>
      </c>
      <c r="J14">
        <v>45.700737634233342</v>
      </c>
      <c r="K14">
        <v>83.559570260262902</v>
      </c>
      <c r="L14">
        <v>0.54692403864559491</v>
      </c>
      <c r="M14" t="str">
        <f t="shared" si="1"/>
        <v/>
      </c>
      <c r="N14">
        <v>6.7742177064421005</v>
      </c>
      <c r="O14">
        <v>1.1165760838469139</v>
      </c>
      <c r="P14">
        <v>6.066955762748421</v>
      </c>
      <c r="Q14" t="str">
        <f t="shared" si="2"/>
        <v>***</v>
      </c>
      <c r="R14">
        <v>23.302888221368541</v>
      </c>
      <c r="S14">
        <v>5.6819538256910116</v>
      </c>
      <c r="T14">
        <v>4.1012104174455457</v>
      </c>
      <c r="U14" t="str">
        <f t="shared" si="3"/>
        <v>***</v>
      </c>
    </row>
    <row r="15" spans="1:21" x14ac:dyDescent="0.25">
      <c r="C15" s="39" t="s">
        <v>66</v>
      </c>
      <c r="F15">
        <v>11.89501006778433</v>
      </c>
      <c r="G15">
        <v>2.265974021705552</v>
      </c>
      <c r="H15">
        <v>5.2494026647451149</v>
      </c>
      <c r="I15" t="str">
        <f t="shared" si="0"/>
        <v>***</v>
      </c>
      <c r="J15">
        <v>-50.71579242977716</v>
      </c>
      <c r="K15">
        <v>93.448376121320848</v>
      </c>
      <c r="L15">
        <v>-0.54271453967198491</v>
      </c>
      <c r="M15" t="str">
        <f t="shared" si="1"/>
        <v/>
      </c>
      <c r="N15">
        <v>7.7170551969152399</v>
      </c>
      <c r="O15">
        <v>1.0903834533179293</v>
      </c>
      <c r="P15">
        <v>7.0773773881408433</v>
      </c>
      <c r="Q15" t="str">
        <f t="shared" si="2"/>
        <v>***</v>
      </c>
      <c r="R15">
        <v>10.833952875281003</v>
      </c>
      <c r="S15">
        <v>2.7674550958817203</v>
      </c>
      <c r="T15">
        <v>3.914770971858994</v>
      </c>
      <c r="U15" t="str">
        <f t="shared" si="3"/>
        <v>***</v>
      </c>
    </row>
    <row r="16" spans="1:21" x14ac:dyDescent="0.25">
      <c r="B16" t="s">
        <v>25</v>
      </c>
      <c r="C16" s="39" t="s">
        <v>67</v>
      </c>
      <c r="F16">
        <v>7.8463885665486917</v>
      </c>
      <c r="G16">
        <v>1.7403835498167941</v>
      </c>
      <c r="H16">
        <v>4.5084249201129616</v>
      </c>
      <c r="I16" t="str">
        <f t="shared" si="0"/>
        <v>***</v>
      </c>
      <c r="J16">
        <v>34.789256074035883</v>
      </c>
      <c r="K16">
        <v>63.9928853833242</v>
      </c>
      <c r="L16">
        <v>0.54364256066349448</v>
      </c>
      <c r="M16" t="str">
        <f t="shared" si="1"/>
        <v/>
      </c>
      <c r="N16">
        <v>4.633212734631412</v>
      </c>
      <c r="O16">
        <v>0.87306695029828107</v>
      </c>
      <c r="P16">
        <v>5.3068241021475933</v>
      </c>
      <c r="Q16" t="str">
        <f t="shared" si="2"/>
        <v>***</v>
      </c>
      <c r="R16">
        <v>12.62284533587235</v>
      </c>
      <c r="S16">
        <v>3.1571963532246579</v>
      </c>
      <c r="T16">
        <v>3.9981185595187281</v>
      </c>
      <c r="U16" t="str">
        <f t="shared" si="3"/>
        <v>***</v>
      </c>
    </row>
    <row r="17" spans="1:21" x14ac:dyDescent="0.25">
      <c r="C17" s="39" t="s">
        <v>68</v>
      </c>
      <c r="F17">
        <v>-2.6186670199123521</v>
      </c>
      <c r="G17">
        <v>1.2367053664464707</v>
      </c>
      <c r="H17">
        <v>-2.11745423846327</v>
      </c>
      <c r="I17" t="str">
        <f t="shared" si="0"/>
        <v>**</v>
      </c>
      <c r="J17">
        <v>-14.695099994153942</v>
      </c>
      <c r="K17">
        <v>28.861603166049878</v>
      </c>
      <c r="L17">
        <v>-0.50915744040995958</v>
      </c>
      <c r="M17" t="str">
        <f t="shared" si="1"/>
        <v/>
      </c>
      <c r="N17">
        <v>-5.3632335864894243</v>
      </c>
      <c r="O17">
        <v>0.98613373196307696</v>
      </c>
      <c r="P17">
        <v>-5.4386473280991412</v>
      </c>
      <c r="Q17" t="str">
        <f t="shared" si="2"/>
        <v>***</v>
      </c>
      <c r="R17">
        <v>1.8204489906208283</v>
      </c>
      <c r="S17">
        <v>1.1369192317918164</v>
      </c>
      <c r="T17">
        <v>1.6012122406899121</v>
      </c>
      <c r="U17" t="str">
        <f t="shared" si="3"/>
        <v/>
      </c>
    </row>
    <row r="18" spans="1:21" x14ac:dyDescent="0.25">
      <c r="B18" t="s">
        <v>27</v>
      </c>
      <c r="C18" s="39" t="s">
        <v>69</v>
      </c>
      <c r="F18">
        <v>5.4743961342821255</v>
      </c>
      <c r="G18">
        <v>1.2155256402700614</v>
      </c>
      <c r="H18">
        <v>4.5037274022996687</v>
      </c>
      <c r="I18" t="str">
        <f t="shared" si="0"/>
        <v>***</v>
      </c>
      <c r="J18">
        <v>40.589612454752896</v>
      </c>
      <c r="K18">
        <v>75.119206372619004</v>
      </c>
      <c r="L18">
        <v>0.54033601278231602</v>
      </c>
      <c r="M18" t="str">
        <f t="shared" si="1"/>
        <v/>
      </c>
      <c r="N18">
        <v>3.5012478982127941</v>
      </c>
      <c r="O18">
        <v>0.6816350102610127</v>
      </c>
      <c r="P18">
        <v>5.1365435247700812</v>
      </c>
      <c r="Q18" t="str">
        <f t="shared" si="2"/>
        <v>***</v>
      </c>
      <c r="R18">
        <v>9.7337266180152131</v>
      </c>
      <c r="S18">
        <v>2.450158743402012</v>
      </c>
      <c r="T18">
        <v>3.9726922364630401</v>
      </c>
      <c r="U18" t="str">
        <f t="shared" si="3"/>
        <v>***</v>
      </c>
    </row>
    <row r="19" spans="1:21" x14ac:dyDescent="0.25">
      <c r="C19" s="39" t="s">
        <v>70</v>
      </c>
      <c r="F19">
        <v>-3.7188714554808202</v>
      </c>
      <c r="G19">
        <v>1.1221442118386287</v>
      </c>
      <c r="H19">
        <v>-3.3140762267868089</v>
      </c>
      <c r="I19" t="str">
        <f t="shared" si="0"/>
        <v>***</v>
      </c>
      <c r="J19">
        <v>19.139264917405789</v>
      </c>
      <c r="K19">
        <v>36.087761791167338</v>
      </c>
      <c r="L19">
        <v>0.53035333773706672</v>
      </c>
      <c r="M19" t="str">
        <f t="shared" si="1"/>
        <v/>
      </c>
      <c r="N19">
        <v>-4.4134557888914481</v>
      </c>
      <c r="O19">
        <v>0.83752447455407319</v>
      </c>
      <c r="P19">
        <v>-5.2696439602452498</v>
      </c>
      <c r="Q19" t="str">
        <f t="shared" si="2"/>
        <v>***</v>
      </c>
      <c r="R19">
        <v>-11.868305920872555</v>
      </c>
      <c r="S19">
        <v>2.996024488849506</v>
      </c>
      <c r="T19">
        <v>-3.9613514392300799</v>
      </c>
      <c r="U19" t="str">
        <f t="shared" si="3"/>
        <v>***</v>
      </c>
    </row>
    <row r="20" spans="1:21" x14ac:dyDescent="0.25">
      <c r="B20" t="s">
        <v>29</v>
      </c>
      <c r="C20" s="39" t="s">
        <v>71</v>
      </c>
      <c r="F20">
        <v>1.6701648806836753</v>
      </c>
      <c r="G20">
        <v>0.80709674764100947</v>
      </c>
      <c r="H20">
        <v>2.069349040948623</v>
      </c>
      <c r="I20" t="str">
        <f t="shared" si="0"/>
        <v>**</v>
      </c>
      <c r="J20">
        <v>18.589480440291958</v>
      </c>
      <c r="K20">
        <v>36.237389106184537</v>
      </c>
      <c r="L20">
        <v>0.51299171653399667</v>
      </c>
      <c r="M20" t="str">
        <f t="shared" si="1"/>
        <v/>
      </c>
      <c r="N20">
        <v>0.43053375237136859</v>
      </c>
      <c r="O20">
        <v>0.55491830820768617</v>
      </c>
      <c r="P20">
        <v>0.77585069009875807</v>
      </c>
      <c r="Q20" t="str">
        <f t="shared" si="2"/>
        <v/>
      </c>
      <c r="R20">
        <v>3.0187075972605641</v>
      </c>
      <c r="S20">
        <v>0.99330374916142172</v>
      </c>
      <c r="T20">
        <v>3.0390578912130879</v>
      </c>
      <c r="U20" t="str">
        <f t="shared" si="3"/>
        <v>***</v>
      </c>
    </row>
    <row r="21" spans="1:21" x14ac:dyDescent="0.25">
      <c r="C21" s="39" t="s">
        <v>72</v>
      </c>
      <c r="F21">
        <v>2.47120799326889</v>
      </c>
      <c r="G21">
        <v>1.0528077709847246</v>
      </c>
      <c r="H21">
        <v>2.3472547043963128</v>
      </c>
      <c r="I21" t="str">
        <f t="shared" si="0"/>
        <v>**</v>
      </c>
      <c r="J21">
        <v>42.083096504891699</v>
      </c>
      <c r="K21">
        <v>77.611777732127223</v>
      </c>
      <c r="L21">
        <v>0.54222564840788978</v>
      </c>
      <c r="M21" t="str">
        <f t="shared" si="1"/>
        <v/>
      </c>
      <c r="N21">
        <v>4.6397871326734581</v>
      </c>
      <c r="O21">
        <v>0.90497859188273699</v>
      </c>
      <c r="P21">
        <v>5.1269578908167821</v>
      </c>
      <c r="Q21" t="str">
        <f t="shared" si="2"/>
        <v>***</v>
      </c>
      <c r="R21">
        <v>-5.8869784157736582</v>
      </c>
      <c r="S21">
        <v>1.5816867432903039</v>
      </c>
      <c r="T21">
        <v>-3.7219622916781039</v>
      </c>
      <c r="U21" t="str">
        <f t="shared" si="3"/>
        <v>***</v>
      </c>
    </row>
    <row r="22" spans="1:21" x14ac:dyDescent="0.25">
      <c r="B22" t="s">
        <v>31</v>
      </c>
      <c r="C22" s="39" t="s">
        <v>73</v>
      </c>
      <c r="F22">
        <v>-2.811858331026766</v>
      </c>
      <c r="G22">
        <v>0.94068228009395471</v>
      </c>
      <c r="H22">
        <v>-2.989169021814591</v>
      </c>
      <c r="I22" t="str">
        <f t="shared" si="0"/>
        <v>***</v>
      </c>
      <c r="J22">
        <v>-21.66025587404436</v>
      </c>
      <c r="K22">
        <v>39.721927392045025</v>
      </c>
      <c r="L22">
        <v>-0.54529720222947176</v>
      </c>
      <c r="M22" t="str">
        <f t="shared" si="1"/>
        <v/>
      </c>
      <c r="N22">
        <v>-2.8353343478383959</v>
      </c>
      <c r="O22">
        <v>0.61439967157625186</v>
      </c>
      <c r="P22">
        <v>-4.6148044652502884</v>
      </c>
      <c r="Q22" t="str">
        <f t="shared" si="2"/>
        <v>***</v>
      </c>
      <c r="R22">
        <v>-1.7244541460674507</v>
      </c>
      <c r="S22">
        <v>0.84003828037378059</v>
      </c>
      <c r="T22">
        <v>-2.052828051240883</v>
      </c>
      <c r="U22" t="str">
        <f t="shared" si="3"/>
        <v>**</v>
      </c>
    </row>
    <row r="23" spans="1:21" x14ac:dyDescent="0.25">
      <c r="C23" s="39" t="s">
        <v>74</v>
      </c>
      <c r="F23">
        <v>-8.4116440420850793</v>
      </c>
      <c r="G23">
        <v>1.875156261812998</v>
      </c>
      <c r="H23">
        <v>-4.4858363078244308</v>
      </c>
      <c r="I23" t="str">
        <f t="shared" si="0"/>
        <v>***</v>
      </c>
      <c r="J23">
        <v>6.6823069518654741</v>
      </c>
      <c r="K23">
        <v>13.213696132441015</v>
      </c>
      <c r="L23">
        <v>0.50571065694932305</v>
      </c>
      <c r="M23" t="str">
        <f t="shared" si="1"/>
        <v/>
      </c>
      <c r="N23">
        <v>5.0254782780651297</v>
      </c>
      <c r="O23">
        <v>0.87970594834556026</v>
      </c>
      <c r="P23">
        <v>5.7126796601937446</v>
      </c>
      <c r="Q23" t="str">
        <f t="shared" si="2"/>
        <v>***</v>
      </c>
      <c r="R23">
        <v>-2.6162441743259999</v>
      </c>
      <c r="S23">
        <v>1.2062995365857678</v>
      </c>
      <c r="T23">
        <v>-2.1688180215428492</v>
      </c>
      <c r="U23" t="str">
        <f t="shared" si="3"/>
        <v>**</v>
      </c>
    </row>
    <row r="24" spans="1:21" x14ac:dyDescent="0.25">
      <c r="B24" t="s">
        <v>33</v>
      </c>
      <c r="C24" s="39" t="s">
        <v>75</v>
      </c>
      <c r="F24">
        <v>-4.8931078392412042</v>
      </c>
      <c r="G24">
        <v>1.2543113521730589</v>
      </c>
      <c r="H24">
        <v>-3.9010312955902329</v>
      </c>
      <c r="I24" t="str">
        <f t="shared" si="0"/>
        <v>***</v>
      </c>
      <c r="J24">
        <v>-30.913285120298259</v>
      </c>
      <c r="K24">
        <v>58.390152687300201</v>
      </c>
      <c r="L24">
        <v>-0.52942634498405539</v>
      </c>
      <c r="M24" t="str">
        <f t="shared" si="1"/>
        <v/>
      </c>
      <c r="N24">
        <v>-3.5380159679028962</v>
      </c>
      <c r="O24">
        <v>0.68164105689827104</v>
      </c>
      <c r="P24">
        <v>-5.1904384750564017</v>
      </c>
      <c r="Q24" t="str">
        <f t="shared" si="2"/>
        <v>***</v>
      </c>
      <c r="R24">
        <v>-1.688111358761279</v>
      </c>
      <c r="S24">
        <v>0.82161800064750801</v>
      </c>
      <c r="T24">
        <v>-2.0546182744668409</v>
      </c>
      <c r="U24" t="str">
        <f t="shared" si="3"/>
        <v>**</v>
      </c>
    </row>
    <row r="25" spans="1:21" x14ac:dyDescent="0.25">
      <c r="C25" s="39" t="s">
        <v>76</v>
      </c>
      <c r="F25">
        <v>-13.775324283840094</v>
      </c>
      <c r="G25">
        <v>2.55976107328505</v>
      </c>
      <c r="H25">
        <v>-5.3814883067041999</v>
      </c>
      <c r="I25" t="str">
        <f t="shared" si="0"/>
        <v>***</v>
      </c>
      <c r="J25">
        <v>-59.257130827693459</v>
      </c>
      <c r="K25">
        <v>108.67205377709554</v>
      </c>
      <c r="L25">
        <v>-0.54528398763162866</v>
      </c>
      <c r="M25" t="str">
        <f t="shared" si="1"/>
        <v/>
      </c>
      <c r="N25">
        <v>-6.5485654217807561</v>
      </c>
      <c r="O25">
        <v>0.90208201093694673</v>
      </c>
      <c r="P25">
        <v>-7.2593903241448006</v>
      </c>
      <c r="Q25" t="str">
        <f t="shared" si="2"/>
        <v>***</v>
      </c>
      <c r="R25">
        <v>-4.6333459604278682</v>
      </c>
      <c r="S25">
        <v>1.4805975803715326</v>
      </c>
      <c r="T25">
        <v>-3.1293756128287078</v>
      </c>
      <c r="U25" t="str">
        <f t="shared" si="3"/>
        <v>***</v>
      </c>
    </row>
    <row r="26" spans="1:21" x14ac:dyDescent="0.25">
      <c r="C26" s="39" t="s">
        <v>45</v>
      </c>
      <c r="F26">
        <v>14.03789495593902</v>
      </c>
      <c r="G26">
        <v>1.8054601079914245</v>
      </c>
      <c r="H26">
        <v>7.7752451542981964</v>
      </c>
      <c r="I26" t="str">
        <f t="shared" si="0"/>
        <v>***</v>
      </c>
      <c r="J26">
        <v>54.060338109212005</v>
      </c>
      <c r="K26">
        <v>42.158217228952537</v>
      </c>
      <c r="L26">
        <v>1.2823203081767309</v>
      </c>
      <c r="M26" t="str">
        <f t="shared" si="1"/>
        <v/>
      </c>
      <c r="N26">
        <v>15.044683891257352</v>
      </c>
      <c r="O26">
        <v>1.8661660630264267</v>
      </c>
      <c r="P26">
        <v>8.0618141061138253</v>
      </c>
      <c r="Q26" t="str">
        <f t="shared" si="2"/>
        <v>***</v>
      </c>
      <c r="R26">
        <v>11.837937936589949</v>
      </c>
      <c r="S26">
        <v>1.8304124539357394</v>
      </c>
      <c r="T26">
        <v>6.4673609006189299</v>
      </c>
      <c r="U26" t="str">
        <f t="shared" si="3"/>
        <v>***</v>
      </c>
    </row>
    <row r="27" spans="1:21" x14ac:dyDescent="0.25">
      <c r="B27" t="s">
        <v>52</v>
      </c>
      <c r="C27" s="39" t="s">
        <v>46</v>
      </c>
      <c r="F27">
        <v>16.31321563161935</v>
      </c>
      <c r="G27">
        <v>2.1555284337872243</v>
      </c>
      <c r="H27">
        <v>7.5680818568267858</v>
      </c>
      <c r="I27" t="str">
        <f t="shared" si="0"/>
        <v>***</v>
      </c>
      <c r="J27">
        <v>34.982408053726203</v>
      </c>
      <c r="K27">
        <v>38.976610948549762</v>
      </c>
      <c r="L27">
        <v>0.89752308377719059</v>
      </c>
      <c r="M27" t="str">
        <f t="shared" si="1"/>
        <v/>
      </c>
      <c r="N27">
        <v>13.128195424134246</v>
      </c>
      <c r="O27">
        <v>1.9526194401681018</v>
      </c>
      <c r="P27">
        <v>6.7233763805014837</v>
      </c>
      <c r="Q27" t="str">
        <f t="shared" si="2"/>
        <v>***</v>
      </c>
      <c r="R27">
        <v>12.662997259458086</v>
      </c>
      <c r="S27">
        <v>2.1160916001558263</v>
      </c>
      <c r="T27">
        <v>5.984144192305096</v>
      </c>
      <c r="U27" t="str">
        <f t="shared" si="3"/>
        <v>***</v>
      </c>
    </row>
    <row r="28" spans="1:21" x14ac:dyDescent="0.25">
      <c r="B28" t="s">
        <v>53</v>
      </c>
      <c r="C28" s="39" t="s">
        <v>77</v>
      </c>
      <c r="F28">
        <v>-58.101033551282022</v>
      </c>
      <c r="G28">
        <v>12.803471662496595</v>
      </c>
      <c r="H28">
        <v>-4.5379124570931166</v>
      </c>
      <c r="I28" t="str">
        <f t="shared" si="0"/>
        <v>***</v>
      </c>
      <c r="J28">
        <v>300.49547744756859</v>
      </c>
      <c r="K28">
        <v>61.930245571320356</v>
      </c>
      <c r="L28">
        <v>4.8521602760562406</v>
      </c>
      <c r="M28" t="str">
        <f t="shared" si="1"/>
        <v>***</v>
      </c>
      <c r="N28">
        <v>-15.953814574347735</v>
      </c>
      <c r="O28">
        <v>3.0160212146927616</v>
      </c>
      <c r="P28">
        <v>-5.289689109820447</v>
      </c>
      <c r="Q28" t="str">
        <f t="shared" si="2"/>
        <v>***</v>
      </c>
      <c r="R28">
        <v>12.356342401331577</v>
      </c>
      <c r="S28">
        <v>3.2311821269024223</v>
      </c>
      <c r="T28">
        <v>3.824093448170006</v>
      </c>
      <c r="U28" t="str">
        <f t="shared" si="3"/>
        <v>***</v>
      </c>
    </row>
    <row r="29" spans="1:21" x14ac:dyDescent="0.25">
      <c r="B29" t="s">
        <v>54</v>
      </c>
      <c r="C29" s="39" t="s">
        <v>78</v>
      </c>
      <c r="F29">
        <v>-58.049919224938321</v>
      </c>
      <c r="G29">
        <v>12.470834094770298</v>
      </c>
      <c r="H29">
        <v>-4.6548545818023364</v>
      </c>
      <c r="I29" t="str">
        <f t="shared" si="0"/>
        <v>***</v>
      </c>
      <c r="J29">
        <v>312.90169869652442</v>
      </c>
      <c r="K29">
        <v>63.972323308108521</v>
      </c>
      <c r="L29">
        <v>4.8912042351424807</v>
      </c>
      <c r="M29" t="str">
        <f t="shared" si="1"/>
        <v>***</v>
      </c>
      <c r="N29">
        <v>-11.527887167872116</v>
      </c>
      <c r="O29">
        <v>2.1037897860653638</v>
      </c>
      <c r="P29">
        <v>-5.4795812985822447</v>
      </c>
      <c r="Q29" t="str">
        <f t="shared" si="2"/>
        <v>***</v>
      </c>
      <c r="R29">
        <v>0.93032211750194038</v>
      </c>
      <c r="S29">
        <v>1.8784337040250967</v>
      </c>
      <c r="T29">
        <v>0.4952648131836922</v>
      </c>
      <c r="U29" t="str">
        <f t="shared" si="3"/>
        <v/>
      </c>
    </row>
    <row r="30" spans="1:21" x14ac:dyDescent="0.25">
      <c r="C30" s="39" t="s">
        <v>79</v>
      </c>
      <c r="F30">
        <v>5.1114326343688343E-2</v>
      </c>
      <c r="G30">
        <v>2.2878294708702978</v>
      </c>
      <c r="H30">
        <v>2.2341842779149228E-2</v>
      </c>
      <c r="I30" s="39" t="str">
        <f t="shared" si="0"/>
        <v/>
      </c>
      <c r="J30">
        <v>12.406221248955838</v>
      </c>
      <c r="K30">
        <v>2.168133786047592</v>
      </c>
      <c r="L30">
        <v>5.7220736694352299</v>
      </c>
      <c r="M30" t="str">
        <f t="shared" si="1"/>
        <v>***</v>
      </c>
      <c r="N30">
        <v>4.42592740647562</v>
      </c>
      <c r="O30">
        <v>1.3511986076151408</v>
      </c>
      <c r="P30">
        <v>3.2755565181401138</v>
      </c>
      <c r="Q30" t="str">
        <f t="shared" si="2"/>
        <v>***</v>
      </c>
      <c r="R30">
        <v>-11.426020283829637</v>
      </c>
      <c r="S30">
        <v>2.393102720685746</v>
      </c>
      <c r="T30">
        <v>-4.7745632417130404</v>
      </c>
      <c r="U30" t="str">
        <f t="shared" si="3"/>
        <v>***</v>
      </c>
    </row>
    <row r="31" spans="1:21" x14ac:dyDescent="0.25">
      <c r="A31" s="2" t="s">
        <v>113</v>
      </c>
    </row>
    <row r="32" spans="1:21" x14ac:dyDescent="0.25">
      <c r="A32" s="2"/>
      <c r="B32" s="4" t="s">
        <v>13</v>
      </c>
      <c r="C32" s="38" t="s">
        <v>57</v>
      </c>
      <c r="F32">
        <v>1.1066426397542006</v>
      </c>
      <c r="G32">
        <v>1.9387499887762827</v>
      </c>
      <c r="H32">
        <v>0.57080213857419604</v>
      </c>
      <c r="I32" t="str">
        <f>IF(ABS(H32)&gt;2.576,"***",IF(ABS(H32)&gt;1.96,"**",IF(ABS(H32)&gt;1.645,"*","")))</f>
        <v/>
      </c>
      <c r="J32" s="10"/>
      <c r="K32" s="10"/>
      <c r="N32">
        <v>-11.792938875924692</v>
      </c>
      <c r="O32">
        <v>1.6212563299064682</v>
      </c>
      <c r="P32">
        <v>-7.2739508604447751</v>
      </c>
      <c r="Q32" s="39" t="str">
        <f>IF(ABS(P32)&gt;2.576,"***",IF(ABS(P32)&gt;1.96,"**",IF(ABS(P32)&gt;1.645,"*","")))</f>
        <v>***</v>
      </c>
      <c r="R32">
        <v>-19.804786044460009</v>
      </c>
      <c r="S32">
        <v>6.2560122070079434</v>
      </c>
      <c r="T32">
        <v>-3.1657204924048612</v>
      </c>
      <c r="U32" s="39" t="str">
        <f>IF(ABS(T32)&gt;2.576,"***",IF(ABS(T32)&gt;1.96,"**",IF(ABS(T32)&gt;1.645,"*","")))</f>
        <v>***</v>
      </c>
    </row>
    <row r="33" spans="1:21" x14ac:dyDescent="0.25">
      <c r="A33" s="2"/>
      <c r="C33" s="38" t="s">
        <v>58</v>
      </c>
      <c r="F33">
        <v>-25.974032867209221</v>
      </c>
      <c r="G33">
        <v>4.4928588602385773</v>
      </c>
      <c r="H33">
        <v>-5.7811815761846477</v>
      </c>
      <c r="I33" t="str">
        <f t="shared" ref="I33:I58" si="4">IF(ABS(H33)&gt;2.576,"***",IF(ABS(H33)&gt;1.96,"**",IF(ABS(H33)&gt;1.645,"*","")))</f>
        <v>***</v>
      </c>
      <c r="N33">
        <v>8.6917217408433451</v>
      </c>
      <c r="O33">
        <v>1.357615876635091</v>
      </c>
      <c r="P33">
        <v>6.4021951204534746</v>
      </c>
      <c r="Q33" s="39" t="str">
        <f t="shared" ref="Q33:Q58" si="5">IF(ABS(P33)&gt;2.576,"***",IF(ABS(P33)&gt;1.96,"**",IF(ABS(P33)&gt;1.645,"*","")))</f>
        <v>***</v>
      </c>
      <c r="R33">
        <v>-66.191369595400658</v>
      </c>
      <c r="S33">
        <v>23.321097411777401</v>
      </c>
      <c r="T33">
        <v>-2.8382613573739168</v>
      </c>
      <c r="U33" s="39" t="str">
        <f t="shared" ref="U33:U58" si="6">IF(ABS(T33)&gt;2.576,"***",IF(ABS(T33)&gt;1.96,"**",IF(ABS(T33)&gt;1.645,"*","")))</f>
        <v>***</v>
      </c>
    </row>
    <row r="34" spans="1:21" x14ac:dyDescent="0.25">
      <c r="A34" s="2"/>
      <c r="B34" s="4" t="s">
        <v>15</v>
      </c>
      <c r="C34" s="38" t="s">
        <v>59</v>
      </c>
      <c r="F34">
        <v>-4.0869588387995561</v>
      </c>
      <c r="G34">
        <v>1.6615275356370798</v>
      </c>
      <c r="H34">
        <v>-2.4597599203990872</v>
      </c>
      <c r="I34" t="str">
        <f t="shared" si="4"/>
        <v>**</v>
      </c>
      <c r="N34">
        <v>-18.57060577565948</v>
      </c>
      <c r="O34">
        <v>2.4701010037512843</v>
      </c>
      <c r="P34">
        <v>-7.518156442775715</v>
      </c>
      <c r="Q34" s="39" t="str">
        <f t="shared" si="5"/>
        <v>***</v>
      </c>
      <c r="R34">
        <v>-35.916133865564063</v>
      </c>
      <c r="S34">
        <v>12.242793541823358</v>
      </c>
      <c r="T34">
        <v>-2.9336551125254831</v>
      </c>
      <c r="U34" s="39" t="str">
        <f t="shared" si="6"/>
        <v>***</v>
      </c>
    </row>
    <row r="35" spans="1:21" x14ac:dyDescent="0.25">
      <c r="A35" s="2"/>
      <c r="C35" s="38" t="s">
        <v>60</v>
      </c>
      <c r="F35">
        <v>27.981764422495981</v>
      </c>
      <c r="G35">
        <v>4.6814376286934305</v>
      </c>
      <c r="H35">
        <v>5.9771733902830162</v>
      </c>
      <c r="I35" t="str">
        <f t="shared" si="4"/>
        <v>***</v>
      </c>
      <c r="N35">
        <v>-14.520831001265346</v>
      </c>
      <c r="O35">
        <v>2.1033148198215121</v>
      </c>
      <c r="P35">
        <v>-6.9037839054914221</v>
      </c>
      <c r="Q35" s="39" t="str">
        <f t="shared" si="5"/>
        <v>***</v>
      </c>
      <c r="R35">
        <v>-82.769634801518521</v>
      </c>
      <c r="S35">
        <v>28.82188616839786</v>
      </c>
      <c r="T35">
        <v>-2.871763295362411</v>
      </c>
      <c r="U35" s="39" t="str">
        <f t="shared" si="6"/>
        <v>***</v>
      </c>
    </row>
    <row r="36" spans="1:21" x14ac:dyDescent="0.25">
      <c r="A36" s="2"/>
      <c r="B36" s="4" t="s">
        <v>17</v>
      </c>
      <c r="C36" s="38" t="s">
        <v>61</v>
      </c>
      <c r="F36">
        <v>-54.145006214298405</v>
      </c>
      <c r="G36">
        <v>8.3140416406580169</v>
      </c>
      <c r="H36">
        <v>-6.5124771506452399</v>
      </c>
      <c r="I36" t="str">
        <f t="shared" si="4"/>
        <v>***</v>
      </c>
      <c r="N36">
        <v>-26.46204620329792</v>
      </c>
      <c r="O36">
        <v>3.4933141496890618</v>
      </c>
      <c r="P36">
        <v>-7.5750548245577347</v>
      </c>
      <c r="Q36" s="39" t="str">
        <f t="shared" si="5"/>
        <v>***</v>
      </c>
      <c r="R36">
        <v>-0.68922937017345554</v>
      </c>
      <c r="S36">
        <v>5.9435701085925015</v>
      </c>
      <c r="T36">
        <v>-0.1159621839367303</v>
      </c>
      <c r="U36" s="39" t="str">
        <f t="shared" si="6"/>
        <v/>
      </c>
    </row>
    <row r="37" spans="1:21" x14ac:dyDescent="0.25">
      <c r="A37" s="2"/>
      <c r="C37" s="38" t="s">
        <v>62</v>
      </c>
      <c r="F37">
        <v>29.627471563485681</v>
      </c>
      <c r="G37">
        <v>4.8077418313754476</v>
      </c>
      <c r="H37">
        <v>6.162450606256777</v>
      </c>
      <c r="I37" t="str">
        <f t="shared" si="4"/>
        <v>***</v>
      </c>
      <c r="N37">
        <v>16.633715179137816</v>
      </c>
      <c r="O37">
        <v>2.3407889244679119</v>
      </c>
      <c r="P37">
        <v>7.1060295122162094</v>
      </c>
      <c r="Q37" s="39" t="str">
        <f t="shared" si="5"/>
        <v>***</v>
      </c>
      <c r="R37">
        <v>-107.04520393597303</v>
      </c>
      <c r="S37">
        <v>38.073808258746901</v>
      </c>
      <c r="T37">
        <v>-2.8115181756576959</v>
      </c>
      <c r="U37" s="39" t="str">
        <f t="shared" si="6"/>
        <v>***</v>
      </c>
    </row>
    <row r="38" spans="1:21" x14ac:dyDescent="0.25">
      <c r="A38" s="2"/>
      <c r="C38" s="38" t="s">
        <v>48</v>
      </c>
      <c r="F38">
        <v>25.801467015189942</v>
      </c>
      <c r="G38">
        <v>3.8760516765105342</v>
      </c>
      <c r="H38">
        <v>6.6566364869567556</v>
      </c>
      <c r="I38" t="str">
        <f t="shared" si="4"/>
        <v>***</v>
      </c>
      <c r="N38">
        <v>29.117400851152482</v>
      </c>
      <c r="O38">
        <v>3.276352964771116</v>
      </c>
      <c r="P38">
        <v>8.8871379745211954</v>
      </c>
      <c r="Q38" s="39" t="str">
        <f t="shared" si="5"/>
        <v>***</v>
      </c>
      <c r="R38">
        <v>21.678630050933137</v>
      </c>
      <c r="S38">
        <v>7.832028509057646</v>
      </c>
      <c r="T38">
        <v>2.7679457532441401</v>
      </c>
      <c r="U38" s="39" t="str">
        <f t="shared" si="6"/>
        <v>***</v>
      </c>
    </row>
    <row r="39" spans="1:21" x14ac:dyDescent="0.25">
      <c r="A39" s="2"/>
      <c r="C39" s="38" t="s">
        <v>49</v>
      </c>
      <c r="F39">
        <v>-18.927548490753377</v>
      </c>
      <c r="G39">
        <v>2.019784738099268</v>
      </c>
      <c r="H39">
        <v>-9.3710721413635749</v>
      </c>
      <c r="I39" t="str">
        <f t="shared" si="4"/>
        <v>***</v>
      </c>
      <c r="N39">
        <v>-15.70813380357205</v>
      </c>
      <c r="O39">
        <v>2.2254305532380361</v>
      </c>
      <c r="P39">
        <v>-7.0584695535506494</v>
      </c>
      <c r="Q39" s="39" t="str">
        <f t="shared" si="5"/>
        <v>***</v>
      </c>
      <c r="R39">
        <v>-39.16200008577448</v>
      </c>
      <c r="S39">
        <v>3.4346081882769304</v>
      </c>
      <c r="T39">
        <v>-11.402173971238691</v>
      </c>
      <c r="U39" s="39" t="str">
        <f t="shared" si="6"/>
        <v>***</v>
      </c>
    </row>
    <row r="40" spans="1:21" x14ac:dyDescent="0.25">
      <c r="B40" t="s">
        <v>21</v>
      </c>
      <c r="C40" s="38" t="s">
        <v>63</v>
      </c>
      <c r="F40">
        <v>5.1275614909306526</v>
      </c>
      <c r="G40">
        <v>1.2276361979102042</v>
      </c>
      <c r="H40">
        <v>4.1767760674206746</v>
      </c>
      <c r="I40" t="str">
        <f t="shared" si="4"/>
        <v>***</v>
      </c>
      <c r="N40">
        <v>0.93614342216051671</v>
      </c>
      <c r="O40">
        <v>0.7337046311964186</v>
      </c>
      <c r="P40">
        <v>1.275913197704627</v>
      </c>
      <c r="Q40" s="39" t="str">
        <f t="shared" si="5"/>
        <v/>
      </c>
      <c r="R40">
        <v>11.066809698192692</v>
      </c>
      <c r="S40">
        <v>4.4339238468039799</v>
      </c>
      <c r="T40">
        <v>2.4959404086675439</v>
      </c>
      <c r="U40" s="39" t="str">
        <f t="shared" si="6"/>
        <v>**</v>
      </c>
    </row>
    <row r="41" spans="1:21" x14ac:dyDescent="0.25">
      <c r="C41" s="38" t="s">
        <v>64</v>
      </c>
      <c r="F41">
        <v>-0.3077956335765768</v>
      </c>
      <c r="G41">
        <v>1.189777225281879</v>
      </c>
      <c r="H41">
        <v>-0.25870022306373758</v>
      </c>
      <c r="I41" t="str">
        <f t="shared" si="4"/>
        <v/>
      </c>
      <c r="N41">
        <v>4.7223802619656476</v>
      </c>
      <c r="O41">
        <v>1.0386337815476985</v>
      </c>
      <c r="P41">
        <v>4.5467231529179539</v>
      </c>
      <c r="Q41" s="39" t="str">
        <f t="shared" si="5"/>
        <v>***</v>
      </c>
      <c r="R41">
        <v>-1.1413065142808794</v>
      </c>
      <c r="S41">
        <v>1.5794956622137892</v>
      </c>
      <c r="T41">
        <v>-0.72257654236368518</v>
      </c>
      <c r="U41" s="39" t="str">
        <f t="shared" si="6"/>
        <v/>
      </c>
    </row>
    <row r="42" spans="1:21" x14ac:dyDescent="0.25">
      <c r="B42" t="s">
        <v>23</v>
      </c>
      <c r="C42" s="38" t="s">
        <v>65</v>
      </c>
      <c r="F42">
        <v>6.0787714703261644</v>
      </c>
      <c r="G42">
        <v>1.385642730690775</v>
      </c>
      <c r="H42">
        <v>4.3869688309162891</v>
      </c>
      <c r="I42" t="str">
        <f t="shared" si="4"/>
        <v>***</v>
      </c>
      <c r="N42">
        <v>5.0268662908137696</v>
      </c>
      <c r="O42">
        <v>0.80037124200366039</v>
      </c>
      <c r="P42">
        <v>6.28066830366049</v>
      </c>
      <c r="Q42" s="39" t="str">
        <f t="shared" si="5"/>
        <v>***</v>
      </c>
      <c r="R42">
        <v>22.731240198448297</v>
      </c>
      <c r="S42">
        <v>8.1631329302629787</v>
      </c>
      <c r="T42">
        <v>2.7846220798607049</v>
      </c>
      <c r="U42" s="39" t="str">
        <f t="shared" si="6"/>
        <v>***</v>
      </c>
    </row>
    <row r="43" spans="1:21" x14ac:dyDescent="0.25">
      <c r="C43" s="38" t="s">
        <v>66</v>
      </c>
      <c r="F43">
        <v>-5.3943773577120133</v>
      </c>
      <c r="G43">
        <v>1.057063954993712</v>
      </c>
      <c r="H43">
        <v>-5.103170278608264</v>
      </c>
      <c r="I43" t="str">
        <f t="shared" si="4"/>
        <v>***</v>
      </c>
      <c r="N43">
        <v>3.1789534413077956</v>
      </c>
      <c r="O43">
        <v>0.75579961975280663</v>
      </c>
      <c r="P43">
        <v>4.2060797044956333</v>
      </c>
      <c r="Q43" s="39" t="str">
        <f t="shared" si="5"/>
        <v>***</v>
      </c>
      <c r="R43">
        <v>20.19299540346854</v>
      </c>
      <c r="S43">
        <v>7.0423569142721547</v>
      </c>
      <c r="T43">
        <v>2.8673632491623788</v>
      </c>
      <c r="U43" s="39" t="str">
        <f t="shared" si="6"/>
        <v>***</v>
      </c>
    </row>
    <row r="44" spans="1:21" x14ac:dyDescent="0.25">
      <c r="B44" t="s">
        <v>25</v>
      </c>
      <c r="C44" s="38" t="s">
        <v>67</v>
      </c>
      <c r="F44">
        <v>4.5661791445492259</v>
      </c>
      <c r="G44">
        <v>1.1916309918361145</v>
      </c>
      <c r="H44">
        <v>3.8318734371900369</v>
      </c>
      <c r="I44" t="str">
        <f t="shared" si="4"/>
        <v>***</v>
      </c>
      <c r="N44">
        <v>2.8123411224365418</v>
      </c>
      <c r="O44">
        <v>0.67989224363057643</v>
      </c>
      <c r="P44">
        <v>4.1364512520672969</v>
      </c>
      <c r="Q44" s="39" t="str">
        <f t="shared" si="5"/>
        <v>***</v>
      </c>
      <c r="R44">
        <v>14.807287086865307</v>
      </c>
      <c r="S44">
        <v>5.4339409975089499</v>
      </c>
      <c r="T44">
        <v>2.724962802071889</v>
      </c>
      <c r="U44" s="39" t="str">
        <f t="shared" si="6"/>
        <v>***</v>
      </c>
    </row>
    <row r="45" spans="1:21" x14ac:dyDescent="0.25">
      <c r="C45" s="38" t="s">
        <v>68</v>
      </c>
      <c r="F45">
        <v>-3.2941540582112823</v>
      </c>
      <c r="G45">
        <v>1.7631036266801356</v>
      </c>
      <c r="H45">
        <v>-1.8683836890597649</v>
      </c>
      <c r="I45" t="str">
        <f t="shared" si="4"/>
        <v>*</v>
      </c>
      <c r="N45">
        <v>-2.0681020156145822</v>
      </c>
      <c r="O45">
        <v>1.0680103885555752</v>
      </c>
      <c r="P45">
        <v>-1.936406272612736</v>
      </c>
      <c r="Q45" s="39" t="str">
        <f t="shared" si="5"/>
        <v>*</v>
      </c>
      <c r="R45">
        <v>3.3453728501512199</v>
      </c>
      <c r="S45">
        <v>2.460045895031802</v>
      </c>
      <c r="T45">
        <v>1.359882291996009</v>
      </c>
      <c r="U45" s="39" t="str">
        <f t="shared" si="6"/>
        <v/>
      </c>
    </row>
    <row r="46" spans="1:21" x14ac:dyDescent="0.25">
      <c r="B46" t="s">
        <v>27</v>
      </c>
      <c r="C46" s="38" t="s">
        <v>69</v>
      </c>
      <c r="F46">
        <v>3.4288574143976103</v>
      </c>
      <c r="G46">
        <v>1.0575342066637181</v>
      </c>
      <c r="H46">
        <v>3.2423134805396812</v>
      </c>
      <c r="I46" t="str">
        <f t="shared" si="4"/>
        <v>***</v>
      </c>
      <c r="N46">
        <v>2.13176098838015</v>
      </c>
      <c r="O46">
        <v>0.64195099164836578</v>
      </c>
      <c r="P46">
        <v>3.3207534782465782</v>
      </c>
      <c r="Q46" s="39" t="str">
        <f t="shared" si="5"/>
        <v>***</v>
      </c>
      <c r="R46">
        <v>11.617779303351011</v>
      </c>
      <c r="S46">
        <v>4.2974786431882821</v>
      </c>
      <c r="T46">
        <v>2.703394308140604</v>
      </c>
      <c r="U46" s="39" t="str">
        <f t="shared" si="6"/>
        <v>***</v>
      </c>
    </row>
    <row r="47" spans="1:21" x14ac:dyDescent="0.25">
      <c r="C47" s="38" t="s">
        <v>70</v>
      </c>
      <c r="F47">
        <v>5.3829267204190954</v>
      </c>
      <c r="G47">
        <v>1.1667934613721349</v>
      </c>
      <c r="H47">
        <v>4.613435795302486</v>
      </c>
      <c r="I47" t="str">
        <f t="shared" si="4"/>
        <v>***</v>
      </c>
      <c r="N47">
        <v>-4.4120792547943921</v>
      </c>
      <c r="O47">
        <v>0.84872901020204239</v>
      </c>
      <c r="P47">
        <v>-5.1984546324675334</v>
      </c>
      <c r="Q47" s="39" t="str">
        <f t="shared" si="5"/>
        <v>***</v>
      </c>
      <c r="R47">
        <v>12.366628111932854</v>
      </c>
      <c r="S47">
        <v>4.3911486637385559</v>
      </c>
      <c r="T47">
        <v>2.8162626818022818</v>
      </c>
      <c r="U47" s="39" t="str">
        <f t="shared" si="6"/>
        <v>***</v>
      </c>
    </row>
    <row r="48" spans="1:21" x14ac:dyDescent="0.25">
      <c r="B48" t="s">
        <v>29</v>
      </c>
      <c r="C48" s="38" t="s">
        <v>71</v>
      </c>
      <c r="F48">
        <v>2.7902014493345417</v>
      </c>
      <c r="G48">
        <v>1.0223546520098439</v>
      </c>
      <c r="H48">
        <v>2.7291913269522401</v>
      </c>
      <c r="I48" t="str">
        <f t="shared" si="4"/>
        <v>***</v>
      </c>
      <c r="N48">
        <v>1.0498366034615465</v>
      </c>
      <c r="O48">
        <v>0.5775789921533786</v>
      </c>
      <c r="P48">
        <v>1.8176502568894639</v>
      </c>
      <c r="Q48" s="39" t="str">
        <f t="shared" si="5"/>
        <v>*</v>
      </c>
      <c r="R48">
        <v>2.5588172348264622</v>
      </c>
      <c r="S48">
        <v>1.4284961138249446</v>
      </c>
      <c r="T48">
        <v>1.7912665005261841</v>
      </c>
      <c r="U48" s="39" t="str">
        <f t="shared" si="6"/>
        <v>*</v>
      </c>
    </row>
    <row r="49" spans="2:34" x14ac:dyDescent="0.25">
      <c r="C49" s="38" t="s">
        <v>72</v>
      </c>
      <c r="F49">
        <v>-3.47772594561232</v>
      </c>
      <c r="G49">
        <v>1.1407746950664783</v>
      </c>
      <c r="H49">
        <v>-3.048565120397992</v>
      </c>
      <c r="I49" t="str">
        <f t="shared" si="4"/>
        <v>***</v>
      </c>
      <c r="N49">
        <v>3.9698638162213715</v>
      </c>
      <c r="O49">
        <v>0.81220470821957869</v>
      </c>
      <c r="P49">
        <v>4.88776262442956</v>
      </c>
      <c r="Q49" s="39" t="str">
        <f t="shared" si="5"/>
        <v>***</v>
      </c>
      <c r="R49">
        <v>5.617998292335507</v>
      </c>
      <c r="S49">
        <v>2.0745620885099383</v>
      </c>
      <c r="T49">
        <v>2.708040565983088</v>
      </c>
      <c r="U49" s="39" t="str">
        <f t="shared" si="6"/>
        <v>***</v>
      </c>
    </row>
    <row r="50" spans="2:34" x14ac:dyDescent="0.25">
      <c r="B50" t="s">
        <v>31</v>
      </c>
      <c r="C50" s="38" t="s">
        <v>73</v>
      </c>
      <c r="F50">
        <v>0.27637789903758619</v>
      </c>
      <c r="G50">
        <v>0.6864941927014836</v>
      </c>
      <c r="H50">
        <v>0.40259320759872302</v>
      </c>
      <c r="I50" t="str">
        <f t="shared" si="4"/>
        <v/>
      </c>
      <c r="N50">
        <v>0.47173057870510798</v>
      </c>
      <c r="O50">
        <v>0.51730290397046741</v>
      </c>
      <c r="P50">
        <v>0.91190398330344358</v>
      </c>
      <c r="Q50" s="39" t="str">
        <f t="shared" si="5"/>
        <v/>
      </c>
      <c r="R50">
        <v>-0.49357429084967658</v>
      </c>
      <c r="S50">
        <v>1.3914592716913714</v>
      </c>
      <c r="T50">
        <v>-0.35471702326559529</v>
      </c>
      <c r="U50" s="39" t="str">
        <f t="shared" si="6"/>
        <v/>
      </c>
    </row>
    <row r="51" spans="2:34" x14ac:dyDescent="0.25">
      <c r="C51" s="38" t="s">
        <v>74</v>
      </c>
      <c r="F51">
        <v>5.0949145154619524</v>
      </c>
      <c r="G51">
        <v>0.97548110268071331</v>
      </c>
      <c r="H51">
        <v>5.2229761309169911</v>
      </c>
      <c r="I51" t="str">
        <f t="shared" si="4"/>
        <v>***</v>
      </c>
      <c r="N51">
        <v>3.5187279855095999</v>
      </c>
      <c r="O51">
        <v>0.76539226935146343</v>
      </c>
      <c r="P51">
        <v>4.5972870727987729</v>
      </c>
      <c r="Q51" s="39" t="str">
        <f t="shared" si="5"/>
        <v>***</v>
      </c>
      <c r="R51">
        <v>6.1519029871942372</v>
      </c>
      <c r="S51">
        <v>2.527037727637262</v>
      </c>
      <c r="T51">
        <v>2.43443258480599</v>
      </c>
      <c r="U51" s="39" t="str">
        <f t="shared" si="6"/>
        <v>**</v>
      </c>
    </row>
    <row r="52" spans="2:34" x14ac:dyDescent="0.25">
      <c r="B52" t="s">
        <v>33</v>
      </c>
      <c r="C52" s="38" t="s">
        <v>75</v>
      </c>
      <c r="F52">
        <v>2.7190050151457239</v>
      </c>
      <c r="G52">
        <v>0.79973148136604122</v>
      </c>
      <c r="H52">
        <v>3.3998974387019558</v>
      </c>
      <c r="I52" t="str">
        <f t="shared" si="4"/>
        <v>***</v>
      </c>
      <c r="N52">
        <v>6.5827373681468432E-2</v>
      </c>
      <c r="O52">
        <v>0.45499170445726644</v>
      </c>
      <c r="P52">
        <v>0.14467818431984419</v>
      </c>
      <c r="Q52" s="39" t="str">
        <f t="shared" si="5"/>
        <v/>
      </c>
      <c r="R52">
        <v>-3.710161047995534</v>
      </c>
      <c r="S52">
        <v>1.7452763362012347</v>
      </c>
      <c r="T52">
        <v>-2.1258301456553661</v>
      </c>
      <c r="U52" s="39" t="str">
        <f t="shared" si="6"/>
        <v>**</v>
      </c>
    </row>
    <row r="53" spans="2:34" x14ac:dyDescent="0.25">
      <c r="C53" s="38" t="s">
        <v>76</v>
      </c>
      <c r="F53">
        <v>-6.5193277428887217</v>
      </c>
      <c r="G53">
        <v>1.1894019942774765</v>
      </c>
      <c r="H53">
        <v>-5.4811811097130407</v>
      </c>
      <c r="I53" t="str">
        <f t="shared" si="4"/>
        <v>***</v>
      </c>
      <c r="N53">
        <v>3.9961205668242137</v>
      </c>
      <c r="O53">
        <v>0.66043843576142125</v>
      </c>
      <c r="P53">
        <v>6.0507086663075196</v>
      </c>
      <c r="Q53" s="39" t="str">
        <f t="shared" si="5"/>
        <v>***</v>
      </c>
      <c r="R53">
        <v>6.4399395799777706</v>
      </c>
      <c r="S53">
        <v>2.9079655471148804</v>
      </c>
      <c r="T53">
        <v>2.2145859280785212</v>
      </c>
      <c r="U53" s="39" t="str">
        <f t="shared" si="6"/>
        <v>**</v>
      </c>
    </row>
    <row r="54" spans="2:34" x14ac:dyDescent="0.25">
      <c r="C54" s="38" t="s">
        <v>45</v>
      </c>
      <c r="F54">
        <v>19.292745180593435</v>
      </c>
      <c r="G54">
        <v>3.4820368120748499</v>
      </c>
      <c r="H54">
        <v>5.5406494020083086</v>
      </c>
      <c r="I54" t="str">
        <f t="shared" si="4"/>
        <v>***</v>
      </c>
      <c r="N54">
        <v>17.581851458874432</v>
      </c>
      <c r="O54">
        <v>3.0870863705148639</v>
      </c>
      <c r="P54">
        <v>5.6952897809406391</v>
      </c>
      <c r="Q54" s="39" t="str">
        <f t="shared" si="5"/>
        <v>***</v>
      </c>
      <c r="R54">
        <v>14.306030149275768</v>
      </c>
      <c r="S54">
        <v>3.4607993780622959</v>
      </c>
      <c r="T54">
        <v>4.1337357605761378</v>
      </c>
      <c r="U54" s="39" t="str">
        <f t="shared" si="6"/>
        <v>***</v>
      </c>
    </row>
    <row r="55" spans="2:34" x14ac:dyDescent="0.25">
      <c r="B55" t="s">
        <v>52</v>
      </c>
      <c r="C55" s="38" t="s">
        <v>46</v>
      </c>
      <c r="F55">
        <v>19.746594813712512</v>
      </c>
      <c r="G55">
        <v>2.9201100329642782</v>
      </c>
      <c r="H55">
        <v>6.7622776507730578</v>
      </c>
      <c r="I55" t="str">
        <f t="shared" si="4"/>
        <v>***</v>
      </c>
      <c r="N55">
        <v>20.543650997570762</v>
      </c>
      <c r="O55">
        <v>2.9988848731522522</v>
      </c>
      <c r="P55">
        <v>6.850430032006023</v>
      </c>
      <c r="Q55" s="39" t="str">
        <f t="shared" si="5"/>
        <v>***</v>
      </c>
      <c r="R55">
        <v>15.32677799137595</v>
      </c>
      <c r="S55">
        <v>3.421838945316964</v>
      </c>
      <c r="T55">
        <v>4.4791056026619138</v>
      </c>
      <c r="U55" s="39" t="str">
        <f t="shared" si="6"/>
        <v>***</v>
      </c>
    </row>
    <row r="56" spans="2:34" x14ac:dyDescent="0.25">
      <c r="B56" t="s">
        <v>53</v>
      </c>
      <c r="C56" s="38" t="s">
        <v>77</v>
      </c>
      <c r="F56">
        <v>-55.251648854052604</v>
      </c>
      <c r="G56">
        <v>14.43725014631989</v>
      </c>
      <c r="H56">
        <v>-3.8270202631445329</v>
      </c>
      <c r="I56" t="str">
        <f t="shared" si="4"/>
        <v>***</v>
      </c>
      <c r="N56">
        <v>-14.669107327373233</v>
      </c>
      <c r="O56">
        <v>3.0263387479947217</v>
      </c>
      <c r="P56">
        <v>-4.8471465189060909</v>
      </c>
      <c r="Q56" s="39" t="str">
        <f t="shared" si="5"/>
        <v>***</v>
      </c>
      <c r="R56">
        <v>19.115556674286552</v>
      </c>
      <c r="S56">
        <v>11.669657292159608</v>
      </c>
      <c r="T56">
        <v>1.638056388093724</v>
      </c>
      <c r="U56" s="39" t="str">
        <f t="shared" si="6"/>
        <v/>
      </c>
    </row>
    <row r="57" spans="2:34" x14ac:dyDescent="0.25">
      <c r="B57" t="s">
        <v>54</v>
      </c>
      <c r="C57" s="38" t="s">
        <v>78</v>
      </c>
      <c r="F57">
        <v>-50.058047375498838</v>
      </c>
      <c r="G57">
        <v>12.73050983927077</v>
      </c>
      <c r="H57">
        <v>-3.932132177540995</v>
      </c>
      <c r="I57" t="str">
        <f t="shared" si="4"/>
        <v>***</v>
      </c>
      <c r="N57">
        <v>-7.891440427638444</v>
      </c>
      <c r="O57">
        <v>2.0083344218162242</v>
      </c>
      <c r="P57">
        <v>-3.9293458011349869</v>
      </c>
      <c r="Q57" s="39" t="str">
        <f t="shared" si="5"/>
        <v>***</v>
      </c>
      <c r="R57">
        <v>35.226904495390599</v>
      </c>
      <c r="S57">
        <v>19.223340795181279</v>
      </c>
      <c r="T57">
        <v>1.8325068920497389</v>
      </c>
      <c r="U57" s="39" t="str">
        <f t="shared" si="6"/>
        <v>*</v>
      </c>
    </row>
    <row r="58" spans="2:34" x14ac:dyDescent="0.25">
      <c r="B58" t="s">
        <v>54</v>
      </c>
      <c r="C58" s="38" t="s">
        <v>79</v>
      </c>
      <c r="F58">
        <v>5.1936014785537568</v>
      </c>
      <c r="G58">
        <v>2.116470913858516</v>
      </c>
      <c r="H58">
        <v>2.4538969302844582</v>
      </c>
      <c r="I58" t="str">
        <f t="shared" si="4"/>
        <v>**</v>
      </c>
      <c r="N58">
        <v>6.777666899734788</v>
      </c>
      <c r="O58">
        <v>1.8447344313933152</v>
      </c>
      <c r="P58">
        <v>3.6740610379433658</v>
      </c>
      <c r="Q58" s="39" t="str">
        <f t="shared" si="5"/>
        <v>***</v>
      </c>
      <c r="R58">
        <v>16.111347821104054</v>
      </c>
      <c r="S58">
        <v>7.7525026289332946</v>
      </c>
      <c r="T58">
        <v>2.078212493727448</v>
      </c>
      <c r="U58" s="39" t="str">
        <f t="shared" si="6"/>
        <v>**</v>
      </c>
    </row>
    <row r="59" spans="2:34" ht="15.75" thickBot="1" x14ac:dyDescent="0.3"/>
    <row r="60" spans="2:34" x14ac:dyDescent="0.25">
      <c r="E60" s="24" t="s">
        <v>114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4"/>
    </row>
    <row r="61" spans="2:34" x14ac:dyDescent="0.25">
      <c r="E61" s="15"/>
      <c r="G61" t="s">
        <v>85</v>
      </c>
      <c r="H61" t="s">
        <v>85</v>
      </c>
      <c r="I61" t="s">
        <v>86</v>
      </c>
      <c r="J61" t="s">
        <v>85</v>
      </c>
      <c r="K61" t="s">
        <v>5</v>
      </c>
      <c r="L61" t="s">
        <v>5</v>
      </c>
      <c r="M61" t="s">
        <v>5</v>
      </c>
      <c r="N61" t="s">
        <v>5</v>
      </c>
      <c r="O61" t="s">
        <v>87</v>
      </c>
      <c r="P61" t="s">
        <v>87</v>
      </c>
      <c r="Q61" t="s">
        <v>87</v>
      </c>
      <c r="R61" t="s">
        <v>87</v>
      </c>
      <c r="AH61" s="16"/>
    </row>
    <row r="62" spans="2:34" x14ac:dyDescent="0.25">
      <c r="E62" s="15" t="s">
        <v>88</v>
      </c>
      <c r="F62" t="s">
        <v>89</v>
      </c>
      <c r="G62" t="s">
        <v>90</v>
      </c>
      <c r="H62" t="s">
        <v>91</v>
      </c>
      <c r="I62" t="s">
        <v>92</v>
      </c>
      <c r="J62" t="s">
        <v>81</v>
      </c>
      <c r="K62" t="s">
        <v>90</v>
      </c>
      <c r="L62" t="s">
        <v>91</v>
      </c>
      <c r="M62" t="s">
        <v>92</v>
      </c>
      <c r="N62" t="s">
        <v>81</v>
      </c>
      <c r="O62" t="s">
        <v>90</v>
      </c>
      <c r="P62" t="s">
        <v>91</v>
      </c>
      <c r="Q62" t="s">
        <v>92</v>
      </c>
      <c r="R62" t="s">
        <v>81</v>
      </c>
      <c r="W62" s="17" t="s">
        <v>93</v>
      </c>
      <c r="AH62" s="16"/>
    </row>
    <row r="63" spans="2:34" x14ac:dyDescent="0.25">
      <c r="E63" s="15">
        <v>1</v>
      </c>
      <c r="F63" s="4" t="s">
        <v>94</v>
      </c>
      <c r="G63" s="19">
        <f>F4</f>
        <v>-1.5737653662755275</v>
      </c>
      <c r="H63" s="19">
        <f>J4</f>
        <v>-86.78717038205923</v>
      </c>
      <c r="I63" s="19">
        <f>N4</f>
        <v>-16.58812898435453</v>
      </c>
      <c r="J63" s="19">
        <f>R4</f>
        <v>-30.566701381077181</v>
      </c>
      <c r="K63" s="19">
        <f>G4</f>
        <v>1.7697631686294604</v>
      </c>
      <c r="L63" s="19">
        <f>K4</f>
        <v>156.9624549927361</v>
      </c>
      <c r="M63" s="19">
        <f>O4</f>
        <v>2.163491943112736</v>
      </c>
      <c r="N63" s="19">
        <f>S4</f>
        <v>6.8743063376937599</v>
      </c>
      <c r="O63" s="19">
        <f>F5</f>
        <v>-31.13660982493554</v>
      </c>
      <c r="P63" s="19">
        <f>J5</f>
        <v>141.66931590866517</v>
      </c>
      <c r="Q63" s="19">
        <f>N5</f>
        <v>-15.548649344428988</v>
      </c>
      <c r="R63" s="19">
        <f>R5</f>
        <v>55.838006683744901</v>
      </c>
      <c r="V63" s="19"/>
      <c r="W63" s="19">
        <f>G63</f>
        <v>-1.5737653662755275</v>
      </c>
      <c r="X63" s="19">
        <f>H63</f>
        <v>-86.78717038205923</v>
      </c>
      <c r="Y63" s="19">
        <f>I63</f>
        <v>-16.58812898435453</v>
      </c>
      <c r="Z63" s="19">
        <f>J63</f>
        <v>-30.566701381077181</v>
      </c>
      <c r="AA63" s="19">
        <f t="shared" ref="AA63:AH63" si="7">K63</f>
        <v>1.7697631686294604</v>
      </c>
      <c r="AB63" s="19">
        <f t="shared" si="7"/>
        <v>156.9624549927361</v>
      </c>
      <c r="AC63" s="19">
        <f t="shared" si="7"/>
        <v>2.163491943112736</v>
      </c>
      <c r="AD63" s="19">
        <f t="shared" si="7"/>
        <v>6.8743063376937599</v>
      </c>
      <c r="AE63" s="19">
        <f t="shared" si="7"/>
        <v>-31.13660982493554</v>
      </c>
      <c r="AF63" s="19">
        <f t="shared" si="7"/>
        <v>141.66931590866517</v>
      </c>
      <c r="AG63" s="19">
        <f t="shared" si="7"/>
        <v>-15.548649344428988</v>
      </c>
      <c r="AH63" s="25">
        <f t="shared" si="7"/>
        <v>55.838006683744901</v>
      </c>
    </row>
    <row r="64" spans="2:34" x14ac:dyDescent="0.25">
      <c r="E64" s="15">
        <v>1</v>
      </c>
      <c r="F64" s="4" t="s">
        <v>95</v>
      </c>
      <c r="G64" s="19">
        <f>F6</f>
        <v>-1.6248796926192157</v>
      </c>
      <c r="H64" s="19">
        <f>J6</f>
        <v>-99.193391631015061</v>
      </c>
      <c r="I64" s="19">
        <f>N6</f>
        <v>-21.014056390830159</v>
      </c>
      <c r="J64" s="19">
        <f>R6</f>
        <v>-19.140681097247537</v>
      </c>
      <c r="K64" s="19">
        <f>G6</f>
        <v>1.6890676482659084</v>
      </c>
      <c r="L64" s="19">
        <f>K6</f>
        <v>181.80609638060645</v>
      </c>
      <c r="M64" s="19">
        <f>O6</f>
        <v>2.8432359315013223</v>
      </c>
      <c r="N64" s="19">
        <f>S6</f>
        <v>4.5331703147788733</v>
      </c>
      <c r="O64" s="19">
        <f>F7</f>
        <v>36.910492534592599</v>
      </c>
      <c r="P64" s="19">
        <f>J7</f>
        <v>136.97402328545783</v>
      </c>
      <c r="Q64" s="19">
        <f>N7</f>
        <v>-17.806190636136435</v>
      </c>
      <c r="R64" s="19">
        <f>R7</f>
        <v>-51.761488563760281</v>
      </c>
      <c r="W64" t="str">
        <f t="shared" ref="W64:AH71" si="8">_xlfn.CONCAT(W63,", ",G64)</f>
        <v>-1.57376536627553, -1.62487969261922</v>
      </c>
      <c r="X64" t="str">
        <f t="shared" si="8"/>
        <v>-86.7871703820592, -99.1933916310151</v>
      </c>
      <c r="Y64" t="str">
        <f t="shared" si="8"/>
        <v>-16.5881289843545, -21.0140563908302</v>
      </c>
      <c r="Z64" t="str">
        <f t="shared" si="8"/>
        <v>-30.5667013810772, -19.1406810972475</v>
      </c>
      <c r="AA64" t="str">
        <f t="shared" si="8"/>
        <v>1.76976316862946, 1.68906764826591</v>
      </c>
      <c r="AB64" t="str">
        <f t="shared" si="8"/>
        <v>156.962454992736, 181.806096380606</v>
      </c>
      <c r="AC64" t="str">
        <f t="shared" si="8"/>
        <v>2.16349194311274, 2.84323593150132</v>
      </c>
      <c r="AD64" t="str">
        <f t="shared" si="8"/>
        <v>6.87430633769376, 4.53317031477887</v>
      </c>
      <c r="AE64" t="str">
        <f t="shared" si="8"/>
        <v>-31.1366098249355, 36.9104925345926</v>
      </c>
      <c r="AF64" t="str">
        <f t="shared" si="8"/>
        <v>141.669315908665, 136.974023285458</v>
      </c>
      <c r="AG64" t="str">
        <f t="shared" si="8"/>
        <v>-15.548649344429, -17.8061906361364</v>
      </c>
      <c r="AH64" s="16" t="str">
        <f t="shared" si="8"/>
        <v>55.8380066837449, -51.7614885637603</v>
      </c>
    </row>
    <row r="65" spans="5:34" x14ac:dyDescent="0.25">
      <c r="E65" s="15">
        <v>1</v>
      </c>
      <c r="F65" s="4" t="s">
        <v>96</v>
      </c>
      <c r="G65" s="19">
        <f>F8</f>
        <v>-59.674798917557538</v>
      </c>
      <c r="H65" s="19">
        <f>J8</f>
        <v>213.70830706550942</v>
      </c>
      <c r="I65" s="19">
        <f>N8</f>
        <v>-32.541943558702265</v>
      </c>
      <c r="J65" s="19">
        <f>R8</f>
        <v>-18.210358979745596</v>
      </c>
      <c r="K65" s="19">
        <f>G8</f>
        <v>10.659218571027488</v>
      </c>
      <c r="L65" s="19">
        <f>K8</f>
        <v>393.69725118766439</v>
      </c>
      <c r="M65" s="19">
        <f>O8</f>
        <v>4.228366068248758</v>
      </c>
      <c r="N65" s="19">
        <f>S8</f>
        <v>4.9273138709494155</v>
      </c>
      <c r="O65" s="19">
        <f>F9</f>
        <v>-43.161213530406357</v>
      </c>
      <c r="P65" s="19">
        <f>J9</f>
        <v>319.035882103593</v>
      </c>
      <c r="Q65" s="19">
        <f>N9</f>
        <v>12.9550816967818</v>
      </c>
      <c r="R65" s="19">
        <f>R9</f>
        <v>-85.116045761507564</v>
      </c>
      <c r="W65" t="str">
        <f t="shared" si="8"/>
        <v>-1.57376536627553, -1.62487969261922, -59.6747989175575</v>
      </c>
      <c r="X65" t="str">
        <f t="shared" si="8"/>
        <v>-86.7871703820592, -99.1933916310151, 213.708307065509</v>
      </c>
      <c r="Y65" t="str">
        <f t="shared" si="8"/>
        <v>-16.5881289843545, -21.0140563908302, -32.5419435587023</v>
      </c>
      <c r="Z65" t="str">
        <f t="shared" si="8"/>
        <v>-30.5667013810772, -19.1406810972475, -18.2103589797456</v>
      </c>
      <c r="AA65" t="str">
        <f t="shared" si="8"/>
        <v>1.76976316862946, 1.68906764826591, 10.6592185710275</v>
      </c>
      <c r="AB65" t="str">
        <f t="shared" si="8"/>
        <v>156.962454992736, 181.806096380606, 393.697251187664</v>
      </c>
      <c r="AC65" t="str">
        <f t="shared" si="8"/>
        <v>2.16349194311274, 2.84323593150132, 4.22836606824876</v>
      </c>
      <c r="AD65" t="str">
        <f t="shared" si="8"/>
        <v>6.87430633769376, 4.53317031477887, 4.92731387094942</v>
      </c>
      <c r="AE65" t="str">
        <f t="shared" si="8"/>
        <v>-31.1366098249355, 36.9104925345926, -43.1612135304064</v>
      </c>
      <c r="AF65" t="str">
        <f t="shared" si="8"/>
        <v>141.669315908665, 136.974023285458, 319.035882103593</v>
      </c>
      <c r="AG65" t="str">
        <f t="shared" si="8"/>
        <v>-15.548649344429, -17.8061906361364, 12.9550816967818</v>
      </c>
      <c r="AH65" s="16" t="str">
        <f t="shared" si="8"/>
        <v>55.8380066837449, -51.7614885637603, -85.1160457615076</v>
      </c>
    </row>
    <row r="66" spans="5:34" x14ac:dyDescent="0.25">
      <c r="E66" s="15">
        <v>2</v>
      </c>
      <c r="F66" t="s">
        <v>97</v>
      </c>
      <c r="G66" s="19">
        <f>F12</f>
        <v>6.7972797060729189</v>
      </c>
      <c r="H66" s="19">
        <f>J12</f>
        <v>31.50487018556468</v>
      </c>
      <c r="I66" s="19">
        <f>N12</f>
        <v>2.6470591725994721</v>
      </c>
      <c r="J66" s="19">
        <f>R12</f>
        <v>11.304924232516933</v>
      </c>
      <c r="K66" s="19">
        <f>G12</f>
        <v>1.5496662621334198</v>
      </c>
      <c r="L66" s="19">
        <f>K12</f>
        <v>57.914148357129456</v>
      </c>
      <c r="M66" s="19">
        <f>O12</f>
        <v>0.74942195627444241</v>
      </c>
      <c r="N66" s="19">
        <f>S12</f>
        <v>2.8198786754590439</v>
      </c>
      <c r="O66" s="19">
        <f>F13</f>
        <v>-3.6966167776980443</v>
      </c>
      <c r="P66" s="19">
        <f>J13</f>
        <v>-39.91167006521168</v>
      </c>
      <c r="Q66" s="19">
        <f>N13</f>
        <v>-2.8952042722227262</v>
      </c>
      <c r="R66" s="19">
        <f>R13</f>
        <v>1.1671178131055462</v>
      </c>
      <c r="W66" t="str">
        <f t="shared" si="8"/>
        <v>-1.57376536627553, -1.62487969261922, -59.6747989175575, 6.79727970607292</v>
      </c>
      <c r="X66" t="str">
        <f t="shared" si="8"/>
        <v>-86.7871703820592, -99.1933916310151, 213.708307065509, 31.5048701855647</v>
      </c>
      <c r="Y66" t="str">
        <f t="shared" si="8"/>
        <v>-16.5881289843545, -21.0140563908302, -32.5419435587023, 2.64705917259947</v>
      </c>
      <c r="Z66" t="str">
        <f t="shared" si="8"/>
        <v>-30.5667013810772, -19.1406810972475, -18.2103589797456, 11.3049242325169</v>
      </c>
      <c r="AA66" t="str">
        <f t="shared" si="8"/>
        <v>1.76976316862946, 1.68906764826591, 10.6592185710275, 1.54966626213342</v>
      </c>
      <c r="AB66" t="str">
        <f t="shared" si="8"/>
        <v>156.962454992736, 181.806096380606, 393.697251187664, 57.9141483571295</v>
      </c>
      <c r="AC66" t="str">
        <f t="shared" si="8"/>
        <v>2.16349194311274, 2.84323593150132, 4.22836606824876, 0.749421956274442</v>
      </c>
      <c r="AD66" t="str">
        <f t="shared" si="8"/>
        <v>6.87430633769376, 4.53317031477887, 4.92731387094942, 2.81987867545904</v>
      </c>
      <c r="AE66" t="str">
        <f t="shared" si="8"/>
        <v>-31.1366098249355, 36.9104925345926, -43.1612135304064, -3.69661677769804</v>
      </c>
      <c r="AF66" t="str">
        <f t="shared" si="8"/>
        <v>141.669315908665, 136.974023285458, 319.035882103593, -39.9116700652117</v>
      </c>
      <c r="AG66" t="str">
        <f t="shared" si="8"/>
        <v>-15.548649344429, -17.8061906361364, 12.9550816967818, -2.89520427222273</v>
      </c>
      <c r="AH66" s="16" t="str">
        <f t="shared" si="8"/>
        <v>55.8380066837449, -51.7614885637603, -85.1160457615076, 1.16711781310555</v>
      </c>
    </row>
    <row r="67" spans="5:34" x14ac:dyDescent="0.25">
      <c r="E67" s="15">
        <v>2</v>
      </c>
      <c r="F67" t="s">
        <v>98</v>
      </c>
      <c r="G67" s="19">
        <f>F14</f>
        <v>8.2603878402356816</v>
      </c>
      <c r="H67" s="19">
        <f>J14</f>
        <v>45.700737634233342</v>
      </c>
      <c r="I67" s="19">
        <f>N14</f>
        <v>6.7742177064421005</v>
      </c>
      <c r="J67" s="19">
        <f>R14</f>
        <v>23.302888221368541</v>
      </c>
      <c r="K67" s="19">
        <f>G14</f>
        <v>1.861370056558159</v>
      </c>
      <c r="L67" s="19">
        <f>K14</f>
        <v>83.559570260262902</v>
      </c>
      <c r="M67" s="19">
        <f>O14</f>
        <v>1.1165760838469139</v>
      </c>
      <c r="N67" s="19">
        <f>S14</f>
        <v>5.6819538256910116</v>
      </c>
      <c r="O67" s="19">
        <f>F15</f>
        <v>11.89501006778433</v>
      </c>
      <c r="P67" s="19">
        <f>J15</f>
        <v>-50.71579242977716</v>
      </c>
      <c r="Q67" s="19">
        <f>N15</f>
        <v>7.7170551969152399</v>
      </c>
      <c r="R67" s="19">
        <f>R15</f>
        <v>10.833952875281003</v>
      </c>
      <c r="W67" t="str">
        <f t="shared" si="8"/>
        <v>-1.57376536627553, -1.62487969261922, -59.6747989175575, 6.79727970607292, 8.26038784023568</v>
      </c>
      <c r="X67" t="str">
        <f t="shared" si="8"/>
        <v>-86.7871703820592, -99.1933916310151, 213.708307065509, 31.5048701855647, 45.7007376342333</v>
      </c>
      <c r="Y67" t="str">
        <f t="shared" si="8"/>
        <v>-16.5881289843545, -21.0140563908302, -32.5419435587023, 2.64705917259947, 6.7742177064421</v>
      </c>
      <c r="Z67" t="str">
        <f t="shared" si="8"/>
        <v>-30.5667013810772, -19.1406810972475, -18.2103589797456, 11.3049242325169, 23.3028882213685</v>
      </c>
      <c r="AA67" t="str">
        <f t="shared" si="8"/>
        <v>1.76976316862946, 1.68906764826591, 10.6592185710275, 1.54966626213342, 1.86137005655816</v>
      </c>
      <c r="AB67" t="str">
        <f t="shared" si="8"/>
        <v>156.962454992736, 181.806096380606, 393.697251187664, 57.9141483571295, 83.5595702602629</v>
      </c>
      <c r="AC67" t="str">
        <f t="shared" si="8"/>
        <v>2.16349194311274, 2.84323593150132, 4.22836606824876, 0.749421956274442, 1.11657608384691</v>
      </c>
      <c r="AD67" t="str">
        <f t="shared" si="8"/>
        <v>6.87430633769376, 4.53317031477887, 4.92731387094942, 2.81987867545904, 5.68195382569101</v>
      </c>
      <c r="AE67" t="str">
        <f t="shared" si="8"/>
        <v>-31.1366098249355, 36.9104925345926, -43.1612135304064, -3.69661677769804, 11.8950100677843</v>
      </c>
      <c r="AF67" t="str">
        <f t="shared" si="8"/>
        <v>141.669315908665, 136.974023285458, 319.035882103593, -39.9116700652117, -50.7157924297772</v>
      </c>
      <c r="AG67" t="str">
        <f t="shared" si="8"/>
        <v>-15.548649344429, -17.8061906361364, 12.9550816967818, -2.89520427222273, 7.71705519691524</v>
      </c>
      <c r="AH67" s="16" t="str">
        <f t="shared" si="8"/>
        <v>55.8380066837449, -51.7614885637603, -85.1160457615076, 1.16711781310555, 10.833952875281</v>
      </c>
    </row>
    <row r="68" spans="5:34" x14ac:dyDescent="0.25">
      <c r="E68" s="15">
        <v>2</v>
      </c>
      <c r="F68" t="s">
        <v>99</v>
      </c>
      <c r="G68" s="19">
        <f>F16</f>
        <v>7.8463885665486917</v>
      </c>
      <c r="H68" s="19">
        <f>J16</f>
        <v>34.789256074035883</v>
      </c>
      <c r="I68" s="19">
        <f>N16</f>
        <v>4.633212734631412</v>
      </c>
      <c r="J68" s="19">
        <f>R16</f>
        <v>12.62284533587235</v>
      </c>
      <c r="K68" s="19">
        <f>G16</f>
        <v>1.7403835498167941</v>
      </c>
      <c r="L68" s="19">
        <f>K16</f>
        <v>63.9928853833242</v>
      </c>
      <c r="M68" s="19">
        <f>O16</f>
        <v>0.87306695029828107</v>
      </c>
      <c r="N68" s="19">
        <f>S16</f>
        <v>3.1571963532246579</v>
      </c>
      <c r="O68" s="19">
        <f>F17</f>
        <v>-2.6186670199123521</v>
      </c>
      <c r="P68" s="19">
        <f>J17</f>
        <v>-14.695099994153942</v>
      </c>
      <c r="Q68" s="19">
        <f>N17</f>
        <v>-5.3632335864894243</v>
      </c>
      <c r="R68" s="19">
        <f>R17</f>
        <v>1.8204489906208283</v>
      </c>
      <c r="W68" t="str">
        <f t="shared" si="8"/>
        <v>-1.57376536627553, -1.62487969261922, -59.6747989175575, 6.79727970607292, 8.26038784023568, 7.84638856654869</v>
      </c>
      <c r="X68" t="str">
        <f t="shared" si="8"/>
        <v>-86.7871703820592, -99.1933916310151, 213.708307065509, 31.5048701855647, 45.7007376342333, 34.7892560740359</v>
      </c>
      <c r="Y68" t="str">
        <f t="shared" si="8"/>
        <v>-16.5881289843545, -21.0140563908302, -32.5419435587023, 2.64705917259947, 6.7742177064421, 4.63321273463141</v>
      </c>
      <c r="Z68" t="str">
        <f t="shared" si="8"/>
        <v>-30.5667013810772, -19.1406810972475, -18.2103589797456, 11.3049242325169, 23.3028882213685, 12.6228453358724</v>
      </c>
      <c r="AA68" t="str">
        <f t="shared" si="8"/>
        <v>1.76976316862946, 1.68906764826591, 10.6592185710275, 1.54966626213342, 1.86137005655816, 1.74038354981679</v>
      </c>
      <c r="AB68" t="str">
        <f t="shared" si="8"/>
        <v>156.962454992736, 181.806096380606, 393.697251187664, 57.9141483571295, 83.5595702602629, 63.9928853833242</v>
      </c>
      <c r="AC68" t="str">
        <f t="shared" si="8"/>
        <v>2.16349194311274, 2.84323593150132, 4.22836606824876, 0.749421956274442, 1.11657608384691, 0.873066950298281</v>
      </c>
      <c r="AD68" t="str">
        <f t="shared" si="8"/>
        <v>6.87430633769376, 4.53317031477887, 4.92731387094942, 2.81987867545904, 5.68195382569101, 3.15719635322466</v>
      </c>
      <c r="AE68" t="str">
        <f t="shared" si="8"/>
        <v>-31.1366098249355, 36.9104925345926, -43.1612135304064, -3.69661677769804, 11.8950100677843, -2.61866701991235</v>
      </c>
      <c r="AF68" t="str">
        <f t="shared" si="8"/>
        <v>141.669315908665, 136.974023285458, 319.035882103593, -39.9116700652117, -50.7157924297772, -14.6950999941539</v>
      </c>
      <c r="AG68" t="str">
        <f t="shared" si="8"/>
        <v>-15.548649344429, -17.8061906361364, 12.9550816967818, -2.89520427222273, 7.71705519691524, -5.36323358648942</v>
      </c>
      <c r="AH68" s="16" t="str">
        <f t="shared" si="8"/>
        <v>55.8380066837449, -51.7614885637603, -85.1160457615076, 1.16711781310555, 10.833952875281, 1.82044899062083</v>
      </c>
    </row>
    <row r="69" spans="5:34" x14ac:dyDescent="0.25">
      <c r="E69" s="15">
        <v>3</v>
      </c>
      <c r="F69" t="s">
        <v>27</v>
      </c>
      <c r="G69" s="19">
        <f>F18</f>
        <v>5.4743961342821255</v>
      </c>
      <c r="H69" s="19">
        <f>J18</f>
        <v>40.589612454752896</v>
      </c>
      <c r="I69" s="19">
        <f>N18</f>
        <v>3.5012478982127941</v>
      </c>
      <c r="J69" s="19">
        <f>R18</f>
        <v>9.7337266180152131</v>
      </c>
      <c r="K69" s="19">
        <f>G18</f>
        <v>1.2155256402700614</v>
      </c>
      <c r="L69" s="19">
        <f>K18</f>
        <v>75.119206372619004</v>
      </c>
      <c r="M69" s="19">
        <f>O18</f>
        <v>0.6816350102610127</v>
      </c>
      <c r="N69" s="19">
        <f>S18</f>
        <v>2.450158743402012</v>
      </c>
      <c r="O69" s="19">
        <f>F19</f>
        <v>-3.7188714554808202</v>
      </c>
      <c r="P69" s="19">
        <f>J19</f>
        <v>19.139264917405789</v>
      </c>
      <c r="Q69" s="19">
        <f>N19</f>
        <v>-4.4134557888914481</v>
      </c>
      <c r="R69" s="19">
        <f>R19</f>
        <v>-11.868305920872555</v>
      </c>
      <c r="W69" t="str">
        <f t="shared" si="8"/>
        <v>-1.57376536627553, -1.62487969261922, -59.6747989175575, 6.79727970607292, 8.26038784023568, 7.84638856654869, 5.47439613428213</v>
      </c>
      <c r="X69" t="str">
        <f t="shared" si="8"/>
        <v>-86.7871703820592, -99.1933916310151, 213.708307065509, 31.5048701855647, 45.7007376342333, 34.7892560740359, 40.5896124547529</v>
      </c>
      <c r="Y69" t="str">
        <f t="shared" si="8"/>
        <v>-16.5881289843545, -21.0140563908302, -32.5419435587023, 2.64705917259947, 6.7742177064421, 4.63321273463141, 3.50124789821279</v>
      </c>
      <c r="Z69" t="str">
        <f t="shared" si="8"/>
        <v>-30.5667013810772, -19.1406810972475, -18.2103589797456, 11.3049242325169, 23.3028882213685, 12.6228453358724, 9.73372661801521</v>
      </c>
      <c r="AA69" t="str">
        <f t="shared" si="8"/>
        <v>1.76976316862946, 1.68906764826591, 10.6592185710275, 1.54966626213342, 1.86137005655816, 1.74038354981679, 1.21552564027006</v>
      </c>
      <c r="AB69" t="str">
        <f t="shared" si="8"/>
        <v>156.962454992736, 181.806096380606, 393.697251187664, 57.9141483571295, 83.5595702602629, 63.9928853833242, 75.119206372619</v>
      </c>
      <c r="AC69" t="str">
        <f t="shared" si="8"/>
        <v>2.16349194311274, 2.84323593150132, 4.22836606824876, 0.749421956274442, 1.11657608384691, 0.873066950298281, 0.681635010261013</v>
      </c>
      <c r="AD69" t="str">
        <f t="shared" si="8"/>
        <v>6.87430633769376, 4.53317031477887, 4.92731387094942, 2.81987867545904, 5.68195382569101, 3.15719635322466, 2.45015874340201</v>
      </c>
      <c r="AE69" t="str">
        <f t="shared" si="8"/>
        <v>-31.1366098249355, 36.9104925345926, -43.1612135304064, -3.69661677769804, 11.8950100677843, -2.61866701991235, -3.71887145548082</v>
      </c>
      <c r="AF69" t="str">
        <f t="shared" si="8"/>
        <v>141.669315908665, 136.974023285458, 319.035882103593, -39.9116700652117, -50.7157924297772, -14.6950999941539, 19.1392649174058</v>
      </c>
      <c r="AG69" t="str">
        <f t="shared" si="8"/>
        <v>-15.548649344429, -17.8061906361364, 12.9550816967818, -2.89520427222273, 7.71705519691524, -5.36323358648942, -4.41345578889145</v>
      </c>
      <c r="AH69" s="16" t="str">
        <f t="shared" si="8"/>
        <v>55.8380066837449, -51.7614885637603, -85.1160457615076, 1.16711781310555, 10.833952875281, 1.82044899062083, -11.8683059208726</v>
      </c>
    </row>
    <row r="70" spans="5:34" x14ac:dyDescent="0.25">
      <c r="E70" s="15">
        <v>3</v>
      </c>
      <c r="F70" t="s">
        <v>29</v>
      </c>
      <c r="G70" s="19">
        <f>F20</f>
        <v>1.6701648806836753</v>
      </c>
      <c r="H70" s="19">
        <f>J20</f>
        <v>18.589480440291958</v>
      </c>
      <c r="I70" s="19">
        <f>N20</f>
        <v>0.43053375237136859</v>
      </c>
      <c r="J70" s="19">
        <f>R20</f>
        <v>3.0187075972605641</v>
      </c>
      <c r="K70" s="19">
        <f>G20</f>
        <v>0.80709674764100947</v>
      </c>
      <c r="L70" s="19">
        <f>K20</f>
        <v>36.237389106184537</v>
      </c>
      <c r="M70" s="19">
        <f>O20</f>
        <v>0.55491830820768617</v>
      </c>
      <c r="N70" s="19">
        <f>S20</f>
        <v>0.99330374916142172</v>
      </c>
      <c r="O70" s="19">
        <f>F21</f>
        <v>2.47120799326889</v>
      </c>
      <c r="P70" s="19">
        <f>J21</f>
        <v>42.083096504891699</v>
      </c>
      <c r="Q70" s="19">
        <f>N21</f>
        <v>4.6397871326734581</v>
      </c>
      <c r="R70" s="19">
        <f>R21</f>
        <v>-5.8869784157736582</v>
      </c>
      <c r="W70" t="str">
        <f t="shared" si="8"/>
        <v>-1.57376536627553, -1.62487969261922, -59.6747989175575, 6.79727970607292, 8.26038784023568, 7.84638856654869, 5.47439613428213, 1.67016488068368</v>
      </c>
      <c r="X70" t="str">
        <f t="shared" si="8"/>
        <v>-86.7871703820592, -99.1933916310151, 213.708307065509, 31.5048701855647, 45.7007376342333, 34.7892560740359, 40.5896124547529, 18.589480440292</v>
      </c>
      <c r="Y70" t="str">
        <f t="shared" si="8"/>
        <v>-16.5881289843545, -21.0140563908302, -32.5419435587023, 2.64705917259947, 6.7742177064421, 4.63321273463141, 3.50124789821279, 0.430533752371369</v>
      </c>
      <c r="Z70" t="str">
        <f t="shared" si="8"/>
        <v>-30.5667013810772, -19.1406810972475, -18.2103589797456, 11.3049242325169, 23.3028882213685, 12.6228453358724, 9.73372661801521, 3.01870759726056</v>
      </c>
      <c r="AA70" t="str">
        <f t="shared" si="8"/>
        <v>1.76976316862946, 1.68906764826591, 10.6592185710275, 1.54966626213342, 1.86137005655816, 1.74038354981679, 1.21552564027006, 0.807096747641009</v>
      </c>
      <c r="AB70" t="str">
        <f t="shared" si="8"/>
        <v>156.962454992736, 181.806096380606, 393.697251187664, 57.9141483571295, 83.5595702602629, 63.9928853833242, 75.119206372619, 36.2373891061845</v>
      </c>
      <c r="AC70" t="str">
        <f t="shared" si="8"/>
        <v>2.16349194311274, 2.84323593150132, 4.22836606824876, 0.749421956274442, 1.11657608384691, 0.873066950298281, 0.681635010261013, 0.554918308207686</v>
      </c>
      <c r="AD70" t="str">
        <f t="shared" si="8"/>
        <v>6.87430633769376, 4.53317031477887, 4.92731387094942, 2.81987867545904, 5.68195382569101, 3.15719635322466, 2.45015874340201, 0.993303749161422</v>
      </c>
      <c r="AE70" t="str">
        <f t="shared" si="8"/>
        <v>-31.1366098249355, 36.9104925345926, -43.1612135304064, -3.69661677769804, 11.8950100677843, -2.61866701991235, -3.71887145548082, 2.47120799326889</v>
      </c>
      <c r="AF70" t="str">
        <f t="shared" si="8"/>
        <v>141.669315908665, 136.974023285458, 319.035882103593, -39.9116700652117, -50.7157924297772, -14.6950999941539, 19.1392649174058, 42.0830965048917</v>
      </c>
      <c r="AG70" t="str">
        <f t="shared" si="8"/>
        <v>-15.548649344429, -17.8061906361364, 12.9550816967818, -2.89520427222273, 7.71705519691524, -5.36323358648942, -4.41345578889145, 4.63978713267346</v>
      </c>
      <c r="AH70" s="16" t="str">
        <f t="shared" si="8"/>
        <v>55.8380066837449, -51.7614885637603, -85.1160457615076, 1.16711781310555, 10.833952875281, 1.82044899062083, -11.8683059208726, -5.88697841577366</v>
      </c>
    </row>
    <row r="71" spans="5:34" x14ac:dyDescent="0.25">
      <c r="E71" s="15">
        <v>4</v>
      </c>
      <c r="F71" t="s">
        <v>100</v>
      </c>
      <c r="G71" s="19">
        <f>F22</f>
        <v>-2.811858331026766</v>
      </c>
      <c r="H71" s="19">
        <f>J22</f>
        <v>-21.66025587404436</v>
      </c>
      <c r="I71" s="19">
        <f>N22</f>
        <v>-2.8353343478383959</v>
      </c>
      <c r="J71" s="19">
        <f>R22</f>
        <v>-1.7244541460674507</v>
      </c>
      <c r="K71" s="19">
        <f>G22</f>
        <v>0.94068228009395471</v>
      </c>
      <c r="L71" s="19">
        <f>K22</f>
        <v>39.721927392045025</v>
      </c>
      <c r="M71" s="19">
        <f>O22</f>
        <v>0.61439967157625186</v>
      </c>
      <c r="N71" s="19">
        <f>S22</f>
        <v>0.84003828037378059</v>
      </c>
      <c r="O71" s="19">
        <f>F23</f>
        <v>-8.4116440420850793</v>
      </c>
      <c r="P71" s="19">
        <f>J23</f>
        <v>6.6823069518654741</v>
      </c>
      <c r="Q71" s="19">
        <f>N23</f>
        <v>5.0254782780651297</v>
      </c>
      <c r="R71" s="19">
        <f>R23</f>
        <v>-2.6162441743259999</v>
      </c>
      <c r="W71" t="str">
        <f t="shared" si="8"/>
        <v>-1.57376536627553, -1.62487969261922, -59.6747989175575, 6.79727970607292, 8.26038784023568, 7.84638856654869, 5.47439613428213, 1.67016488068368, -2.81185833102677</v>
      </c>
      <c r="X71" t="str">
        <f t="shared" si="8"/>
        <v>-86.7871703820592, -99.1933916310151, 213.708307065509, 31.5048701855647, 45.7007376342333, 34.7892560740359, 40.5896124547529, 18.589480440292, -21.6602558740444</v>
      </c>
      <c r="Y71" t="str">
        <f t="shared" si="8"/>
        <v>-16.5881289843545, -21.0140563908302, -32.5419435587023, 2.64705917259947, 6.7742177064421, 4.63321273463141, 3.50124789821279, 0.430533752371369, -2.8353343478384</v>
      </c>
      <c r="Z71" t="str">
        <f t="shared" si="8"/>
        <v>-30.5667013810772, -19.1406810972475, -18.2103589797456, 11.3049242325169, 23.3028882213685, 12.6228453358724, 9.73372661801521, 3.01870759726056, -1.72445414606745</v>
      </c>
      <c r="AA71" t="str">
        <f>_xlfn.CONCAT(AA70,", ",K71)</f>
        <v>1.76976316862946, 1.68906764826591, 10.6592185710275, 1.54966626213342, 1.86137005655816, 1.74038354981679, 1.21552564027006, 0.807096747641009, 0.940682280093955</v>
      </c>
      <c r="AB71" t="str">
        <f t="shared" si="8"/>
        <v>156.962454992736, 181.806096380606, 393.697251187664, 57.9141483571295, 83.5595702602629, 63.9928853833242, 75.119206372619, 36.2373891061845, 39.721927392045</v>
      </c>
      <c r="AC71" t="str">
        <f t="shared" si="8"/>
        <v>2.16349194311274, 2.84323593150132, 4.22836606824876, 0.749421956274442, 1.11657608384691, 0.873066950298281, 0.681635010261013, 0.554918308207686, 0.614399671576252</v>
      </c>
      <c r="AD71" t="str">
        <f t="shared" si="8"/>
        <v>6.87430633769376, 4.53317031477887, 4.92731387094942, 2.81987867545904, 5.68195382569101, 3.15719635322466, 2.45015874340201, 0.993303749161422, 0.840038280373781</v>
      </c>
      <c r="AE71" t="str">
        <f t="shared" si="8"/>
        <v>-31.1366098249355, 36.9104925345926, -43.1612135304064, -3.69661677769804, 11.8950100677843, -2.61866701991235, -3.71887145548082, 2.47120799326889, -8.41164404208508</v>
      </c>
      <c r="AF71" t="str">
        <f t="shared" si="8"/>
        <v>141.669315908665, 136.974023285458, 319.035882103593, -39.9116700652117, -50.7157924297772, -14.6950999941539, 19.1392649174058, 42.0830965048917, 6.68230695186547</v>
      </c>
      <c r="AG71" t="str">
        <f t="shared" si="8"/>
        <v>-15.548649344429, -17.8061906361364, 12.9550816967818, -2.89520427222273, 7.71705519691524, -5.36323358648942, -4.41345578889145, 4.63978713267346, 5.02547827806513</v>
      </c>
      <c r="AH71" s="16" t="str">
        <f t="shared" si="8"/>
        <v>55.8380066837449, -51.7614885637603, -85.1160457615076, 1.16711781310555, 10.833952875281, 1.82044899062083, -11.8683059208726, -5.88697841577366, -2.616244174326</v>
      </c>
    </row>
    <row r="72" spans="5:34" x14ac:dyDescent="0.25">
      <c r="E72" s="15">
        <v>4</v>
      </c>
      <c r="F72" t="s">
        <v>101</v>
      </c>
      <c r="G72" s="19">
        <f>F24</f>
        <v>-4.8931078392412042</v>
      </c>
      <c r="H72" s="19">
        <f>J24</f>
        <v>-30.913285120298259</v>
      </c>
      <c r="I72" s="19">
        <f>N24</f>
        <v>-3.5380159679028962</v>
      </c>
      <c r="J72" s="19">
        <f>R24</f>
        <v>-1.688111358761279</v>
      </c>
      <c r="K72" s="19">
        <f>G24</f>
        <v>1.2543113521730589</v>
      </c>
      <c r="L72" s="19">
        <f>K24</f>
        <v>58.390152687300201</v>
      </c>
      <c r="M72" s="19">
        <f>O24</f>
        <v>0.68164105689827104</v>
      </c>
      <c r="N72" s="19">
        <f>S24</f>
        <v>0.82161800064750801</v>
      </c>
      <c r="O72" s="19">
        <f>F25</f>
        <v>-13.775324283840094</v>
      </c>
      <c r="P72" s="19">
        <f>J25</f>
        <v>-59.257130827693459</v>
      </c>
      <c r="Q72" s="19">
        <f>N25</f>
        <v>-6.5485654217807561</v>
      </c>
      <c r="R72" s="19">
        <f>R25</f>
        <v>-4.6333459604278682</v>
      </c>
      <c r="W72" s="32" t="s">
        <v>176</v>
      </c>
      <c r="X72" s="32" t="s">
        <v>177</v>
      </c>
      <c r="Y72" s="32" t="s">
        <v>178</v>
      </c>
      <c r="Z72" s="32" t="s">
        <v>179</v>
      </c>
      <c r="AA72" s="33" t="s">
        <v>180</v>
      </c>
      <c r="AB72" s="33" t="s">
        <v>181</v>
      </c>
      <c r="AC72" s="33" t="s">
        <v>182</v>
      </c>
      <c r="AD72" s="33" t="s">
        <v>183</v>
      </c>
      <c r="AE72" s="27" t="s">
        <v>184</v>
      </c>
      <c r="AF72" s="27" t="s">
        <v>185</v>
      </c>
      <c r="AG72" s="27" t="s">
        <v>186</v>
      </c>
      <c r="AH72" s="28" t="s">
        <v>187</v>
      </c>
    </row>
    <row r="73" spans="5:34" x14ac:dyDescent="0.25">
      <c r="E73" s="15">
        <v>5</v>
      </c>
      <c r="F73" t="s">
        <v>102</v>
      </c>
      <c r="G73" s="19">
        <f>F26</f>
        <v>14.03789495593902</v>
      </c>
      <c r="H73" s="19">
        <f>J26</f>
        <v>54.060338109212005</v>
      </c>
      <c r="I73" s="19">
        <f>N26</f>
        <v>15.044683891257352</v>
      </c>
      <c r="J73" s="19">
        <f>R26</f>
        <v>11.837937936589949</v>
      </c>
      <c r="K73" s="19">
        <f>G26</f>
        <v>1.8054601079914245</v>
      </c>
      <c r="L73" s="19">
        <f>K26</f>
        <v>42.158217228952537</v>
      </c>
      <c r="M73" s="19">
        <f>O26</f>
        <v>1.8661660630264267</v>
      </c>
      <c r="N73" s="19">
        <f>S26</f>
        <v>1.8304124539357394</v>
      </c>
      <c r="O73" s="19"/>
      <c r="R73" s="19"/>
      <c r="S73" s="19"/>
      <c r="T73" s="19"/>
      <c r="U73" s="19"/>
      <c r="AH73" s="16"/>
    </row>
    <row r="74" spans="5:34" x14ac:dyDescent="0.25">
      <c r="E74" s="15">
        <v>5</v>
      </c>
      <c r="F74" t="s">
        <v>103</v>
      </c>
      <c r="G74" s="19">
        <f>F27</f>
        <v>16.31321563161935</v>
      </c>
      <c r="H74" s="19">
        <f>J27</f>
        <v>34.982408053726203</v>
      </c>
      <c r="I74" s="19">
        <f>N27</f>
        <v>13.128195424134246</v>
      </c>
      <c r="J74" s="19">
        <f>R27</f>
        <v>12.662997259458086</v>
      </c>
      <c r="K74" s="19">
        <f>G27</f>
        <v>2.1555284337872243</v>
      </c>
      <c r="L74" s="19">
        <f>K27</f>
        <v>38.976610948549762</v>
      </c>
      <c r="M74" s="19">
        <f>O27</f>
        <v>1.9526194401681018</v>
      </c>
      <c r="N74" s="19">
        <f>S27</f>
        <v>2.1160916001558263</v>
      </c>
      <c r="O74" s="19"/>
      <c r="AH74" s="16"/>
    </row>
    <row r="75" spans="5:34" ht="15.75" thickBot="1" x14ac:dyDescent="0.3">
      <c r="E75" s="20">
        <v>5</v>
      </c>
      <c r="F75" s="22" t="s">
        <v>104</v>
      </c>
      <c r="G75" s="21">
        <f>F28</f>
        <v>-58.101033551282022</v>
      </c>
      <c r="H75" s="21">
        <f>J28</f>
        <v>300.49547744756859</v>
      </c>
      <c r="I75" s="21">
        <f>N28</f>
        <v>-15.953814574347735</v>
      </c>
      <c r="J75" s="21">
        <f>R28</f>
        <v>12.356342401331577</v>
      </c>
      <c r="K75" s="21">
        <f>G28</f>
        <v>12.803471662496595</v>
      </c>
      <c r="L75" s="21">
        <f>K28</f>
        <v>61.930245571320356</v>
      </c>
      <c r="M75" s="21">
        <f>O28</f>
        <v>3.0160212146927616</v>
      </c>
      <c r="N75" s="21">
        <f>S28</f>
        <v>3.2311821269024223</v>
      </c>
      <c r="O75" s="21"/>
      <c r="P75" s="22"/>
      <c r="Q75" s="22"/>
      <c r="R75" s="22"/>
      <c r="S75" s="21"/>
      <c r="T75" s="21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3"/>
    </row>
    <row r="78" spans="5:34" ht="15.75" thickBot="1" x14ac:dyDescent="0.3"/>
    <row r="79" spans="5:34" x14ac:dyDescent="0.25">
      <c r="E79" s="24" t="s">
        <v>115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4"/>
    </row>
    <row r="80" spans="5:34" x14ac:dyDescent="0.25">
      <c r="E80" s="15"/>
      <c r="G80" t="s">
        <v>85</v>
      </c>
      <c r="H80" t="s">
        <v>85</v>
      </c>
      <c r="I80" t="s">
        <v>86</v>
      </c>
      <c r="J80" t="s">
        <v>85</v>
      </c>
      <c r="K80" t="s">
        <v>5</v>
      </c>
      <c r="L80" t="s">
        <v>5</v>
      </c>
      <c r="M80" t="s">
        <v>5</v>
      </c>
      <c r="N80" t="s">
        <v>5</v>
      </c>
      <c r="O80" t="s">
        <v>87</v>
      </c>
      <c r="P80" t="s">
        <v>87</v>
      </c>
      <c r="Q80" t="s">
        <v>87</v>
      </c>
      <c r="R80" t="s">
        <v>87</v>
      </c>
      <c r="AH80" s="16"/>
    </row>
    <row r="81" spans="5:34" x14ac:dyDescent="0.25">
      <c r="E81" s="15" t="s">
        <v>88</v>
      </c>
      <c r="F81" t="s">
        <v>89</v>
      </c>
      <c r="G81" t="s">
        <v>90</v>
      </c>
      <c r="H81" t="s">
        <v>91</v>
      </c>
      <c r="I81" t="s">
        <v>92</v>
      </c>
      <c r="J81" t="s">
        <v>81</v>
      </c>
      <c r="K81" t="s">
        <v>90</v>
      </c>
      <c r="L81" t="s">
        <v>91</v>
      </c>
      <c r="M81" t="s">
        <v>92</v>
      </c>
      <c r="N81" t="s">
        <v>81</v>
      </c>
      <c r="O81" t="s">
        <v>90</v>
      </c>
      <c r="P81" t="s">
        <v>91</v>
      </c>
      <c r="Q81" t="s">
        <v>92</v>
      </c>
      <c r="R81" t="s">
        <v>81</v>
      </c>
      <c r="W81" s="17" t="s">
        <v>93</v>
      </c>
      <c r="AH81" s="16"/>
    </row>
    <row r="82" spans="5:34" x14ac:dyDescent="0.25">
      <c r="E82" s="15">
        <v>1</v>
      </c>
      <c r="F82" s="4" t="s">
        <v>94</v>
      </c>
      <c r="G82" s="19">
        <f>F32</f>
        <v>1.1066426397542006</v>
      </c>
      <c r="H82" s="19">
        <f>J32</f>
        <v>0</v>
      </c>
      <c r="I82" s="19">
        <f>N32</f>
        <v>-11.792938875924692</v>
      </c>
      <c r="J82" s="19">
        <f>R32</f>
        <v>-19.804786044460009</v>
      </c>
      <c r="K82" s="19">
        <f>G32</f>
        <v>1.9387499887762827</v>
      </c>
      <c r="L82" s="19">
        <v>0</v>
      </c>
      <c r="M82" s="19">
        <f>O32</f>
        <v>1.6212563299064682</v>
      </c>
      <c r="N82" s="19">
        <f>S32</f>
        <v>6.2560122070079434</v>
      </c>
      <c r="O82" s="19">
        <f>F33</f>
        <v>-25.974032867209221</v>
      </c>
      <c r="P82" s="19">
        <f>J33</f>
        <v>0</v>
      </c>
      <c r="Q82" s="19">
        <f>N33</f>
        <v>8.6917217408433451</v>
      </c>
      <c r="R82" s="19">
        <f>R33</f>
        <v>-66.191369595400658</v>
      </c>
      <c r="V82" s="19"/>
      <c r="W82" s="19">
        <f>G82</f>
        <v>1.1066426397542006</v>
      </c>
      <c r="X82" s="19">
        <f>H82</f>
        <v>0</v>
      </c>
      <c r="Y82" s="19">
        <f>I82</f>
        <v>-11.792938875924692</v>
      </c>
      <c r="Z82" s="19">
        <f>J82</f>
        <v>-19.804786044460009</v>
      </c>
      <c r="AA82" s="19">
        <f t="shared" ref="AA82:AH82" si="9">K82</f>
        <v>1.9387499887762827</v>
      </c>
      <c r="AB82" s="19">
        <f t="shared" si="9"/>
        <v>0</v>
      </c>
      <c r="AC82" s="19">
        <f t="shared" si="9"/>
        <v>1.6212563299064682</v>
      </c>
      <c r="AD82" s="19">
        <f t="shared" si="9"/>
        <v>6.2560122070079434</v>
      </c>
      <c r="AE82" s="19">
        <f t="shared" si="9"/>
        <v>-25.974032867209221</v>
      </c>
      <c r="AF82" s="19">
        <f t="shared" si="9"/>
        <v>0</v>
      </c>
      <c r="AG82" s="19">
        <f t="shared" si="9"/>
        <v>8.6917217408433451</v>
      </c>
      <c r="AH82" s="25">
        <f t="shared" si="9"/>
        <v>-66.191369595400658</v>
      </c>
    </row>
    <row r="83" spans="5:34" x14ac:dyDescent="0.25">
      <c r="E83" s="15">
        <v>1</v>
      </c>
      <c r="F83" s="4" t="s">
        <v>95</v>
      </c>
      <c r="G83" s="19">
        <f>F34</f>
        <v>-4.0869588387995561</v>
      </c>
      <c r="H83" s="19">
        <f>J34</f>
        <v>0</v>
      </c>
      <c r="I83" s="19">
        <f>N34</f>
        <v>-18.57060577565948</v>
      </c>
      <c r="J83" s="19">
        <f>R34</f>
        <v>-35.916133865564063</v>
      </c>
      <c r="K83" s="19">
        <f>G34</f>
        <v>1.6615275356370798</v>
      </c>
      <c r="L83" s="19">
        <v>0</v>
      </c>
      <c r="M83" s="19">
        <f>O34</f>
        <v>2.4701010037512843</v>
      </c>
      <c r="N83" s="19">
        <f>S34</f>
        <v>12.242793541823358</v>
      </c>
      <c r="O83" s="19">
        <f>F35</f>
        <v>27.981764422495981</v>
      </c>
      <c r="P83" s="19">
        <f>J35</f>
        <v>0</v>
      </c>
      <c r="Q83" s="19">
        <f>N35</f>
        <v>-14.520831001265346</v>
      </c>
      <c r="R83" s="19">
        <f>R35</f>
        <v>-82.769634801518521</v>
      </c>
      <c r="W83" t="str">
        <f t="shared" ref="W83:AH90" si="10">_xlfn.CONCAT(W82,", ",G83)</f>
        <v>1.1066426397542, -4.08695883879956</v>
      </c>
      <c r="X83" t="str">
        <f t="shared" si="10"/>
        <v>0, 0</v>
      </c>
      <c r="Y83" t="str">
        <f t="shared" si="10"/>
        <v>-11.7929388759247, -18.5706057756595</v>
      </c>
      <c r="Z83" t="str">
        <f t="shared" si="10"/>
        <v>-19.80478604446, -35.9161338655641</v>
      </c>
      <c r="AA83" t="str">
        <f t="shared" si="10"/>
        <v>1.93874998877628, 1.66152753563708</v>
      </c>
      <c r="AB83" t="str">
        <f t="shared" si="10"/>
        <v>0, 0</v>
      </c>
      <c r="AC83" t="str">
        <f t="shared" si="10"/>
        <v>1.62125632990647, 2.47010100375128</v>
      </c>
      <c r="AD83" t="str">
        <f t="shared" si="10"/>
        <v>6.25601220700794, 12.2427935418234</v>
      </c>
      <c r="AE83" t="str">
        <f t="shared" si="10"/>
        <v>-25.9740328672092, 27.981764422496</v>
      </c>
      <c r="AF83" t="str">
        <f t="shared" si="10"/>
        <v>0, 0</v>
      </c>
      <c r="AG83" t="str">
        <f t="shared" si="10"/>
        <v>8.69172174084335, -14.5208310012653</v>
      </c>
      <c r="AH83" s="16" t="str">
        <f t="shared" si="10"/>
        <v>-66.1913695954007, -82.7696348015185</v>
      </c>
    </row>
    <row r="84" spans="5:34" x14ac:dyDescent="0.25">
      <c r="E84" s="15">
        <v>1</v>
      </c>
      <c r="F84" s="4" t="s">
        <v>96</v>
      </c>
      <c r="G84" s="19">
        <f>F36</f>
        <v>-54.145006214298405</v>
      </c>
      <c r="H84" s="19">
        <f>J36</f>
        <v>0</v>
      </c>
      <c r="I84" s="19">
        <f>N36</f>
        <v>-26.46204620329792</v>
      </c>
      <c r="J84" s="19">
        <f>R36</f>
        <v>-0.68922937017345554</v>
      </c>
      <c r="K84" s="19">
        <f>G36</f>
        <v>8.3140416406580169</v>
      </c>
      <c r="L84" s="19">
        <v>0</v>
      </c>
      <c r="M84" s="19">
        <f>O36</f>
        <v>3.4933141496890618</v>
      </c>
      <c r="N84" s="19">
        <f>S36</f>
        <v>5.9435701085925015</v>
      </c>
      <c r="O84" s="19">
        <f>F37</f>
        <v>29.627471563485681</v>
      </c>
      <c r="P84" s="19">
        <f>J37</f>
        <v>0</v>
      </c>
      <c r="Q84" s="19">
        <f>N37</f>
        <v>16.633715179137816</v>
      </c>
      <c r="R84" s="19">
        <f>R37</f>
        <v>-107.04520393597303</v>
      </c>
      <c r="S84" s="19"/>
      <c r="W84" t="str">
        <f t="shared" si="10"/>
        <v>1.1066426397542, -4.08695883879956, -54.1450062142984</v>
      </c>
      <c r="X84" t="str">
        <f t="shared" si="10"/>
        <v>0, 0, 0</v>
      </c>
      <c r="Y84" t="str">
        <f t="shared" si="10"/>
        <v>-11.7929388759247, -18.5706057756595, -26.4620462032979</v>
      </c>
      <c r="Z84" t="str">
        <f t="shared" si="10"/>
        <v>-19.80478604446, -35.9161338655641, -0.689229370173456</v>
      </c>
      <c r="AA84" t="str">
        <f t="shared" si="10"/>
        <v>1.93874998877628, 1.66152753563708, 8.31404164065802</v>
      </c>
      <c r="AB84" t="str">
        <f t="shared" si="10"/>
        <v>0, 0, 0</v>
      </c>
      <c r="AC84" t="str">
        <f t="shared" si="10"/>
        <v>1.62125632990647, 2.47010100375128, 3.49331414968906</v>
      </c>
      <c r="AD84" t="str">
        <f t="shared" si="10"/>
        <v>6.25601220700794, 12.2427935418234, 5.9435701085925</v>
      </c>
      <c r="AE84" t="str">
        <f t="shared" si="10"/>
        <v>-25.9740328672092, 27.981764422496, 29.6274715634857</v>
      </c>
      <c r="AF84" t="str">
        <f t="shared" si="10"/>
        <v>0, 0, 0</v>
      </c>
      <c r="AG84" t="str">
        <f t="shared" si="10"/>
        <v>8.69172174084335, -14.5208310012653, 16.6337151791378</v>
      </c>
      <c r="AH84" s="16" t="str">
        <f t="shared" si="10"/>
        <v>-66.1913695954007, -82.7696348015185, -107.045203935973</v>
      </c>
    </row>
    <row r="85" spans="5:34" x14ac:dyDescent="0.25">
      <c r="E85" s="15">
        <v>2</v>
      </c>
      <c r="F85" t="s">
        <v>97</v>
      </c>
      <c r="G85" s="19">
        <f>F40</f>
        <v>5.1275614909306526</v>
      </c>
      <c r="H85" s="19">
        <f>J40</f>
        <v>0</v>
      </c>
      <c r="I85" s="19">
        <f>N40</f>
        <v>0.93614342216051671</v>
      </c>
      <c r="J85" s="19">
        <f>R40</f>
        <v>11.066809698192692</v>
      </c>
      <c r="K85" s="19">
        <f>G40</f>
        <v>1.2276361979102042</v>
      </c>
      <c r="L85" s="19">
        <v>0</v>
      </c>
      <c r="M85" s="19">
        <f>O40</f>
        <v>0.7337046311964186</v>
      </c>
      <c r="N85" s="19">
        <f>S40</f>
        <v>4.4339238468039799</v>
      </c>
      <c r="O85" s="19">
        <f>F41</f>
        <v>-0.3077956335765768</v>
      </c>
      <c r="P85" s="19">
        <f>J41</f>
        <v>0</v>
      </c>
      <c r="Q85" s="19">
        <f>N41</f>
        <v>4.7223802619656476</v>
      </c>
      <c r="R85" s="19">
        <f>R41</f>
        <v>-1.1413065142808794</v>
      </c>
      <c r="W85" t="str">
        <f t="shared" si="10"/>
        <v>1.1066426397542, -4.08695883879956, -54.1450062142984, 5.12756149093065</v>
      </c>
      <c r="X85" t="str">
        <f t="shared" si="10"/>
        <v>0, 0, 0, 0</v>
      </c>
      <c r="Y85" t="str">
        <f t="shared" si="10"/>
        <v>-11.7929388759247, -18.5706057756595, -26.4620462032979, 0.936143422160517</v>
      </c>
      <c r="Z85" t="str">
        <f t="shared" si="10"/>
        <v>-19.80478604446, -35.9161338655641, -0.689229370173456, 11.0668096981927</v>
      </c>
      <c r="AA85" t="str">
        <f t="shared" si="10"/>
        <v>1.93874998877628, 1.66152753563708, 8.31404164065802, 1.2276361979102</v>
      </c>
      <c r="AB85" t="str">
        <f t="shared" si="10"/>
        <v>0, 0, 0, 0</v>
      </c>
      <c r="AC85" t="str">
        <f t="shared" si="10"/>
        <v>1.62125632990647, 2.47010100375128, 3.49331414968906, 0.733704631196419</v>
      </c>
      <c r="AD85" t="str">
        <f t="shared" si="10"/>
        <v>6.25601220700794, 12.2427935418234, 5.9435701085925, 4.43392384680398</v>
      </c>
      <c r="AE85" t="str">
        <f t="shared" si="10"/>
        <v>-25.9740328672092, 27.981764422496, 29.6274715634857, -0.307795633576577</v>
      </c>
      <c r="AF85" t="str">
        <f t="shared" si="10"/>
        <v>0, 0, 0, 0</v>
      </c>
      <c r="AG85" t="str">
        <f t="shared" si="10"/>
        <v>8.69172174084335, -14.5208310012653, 16.6337151791378, 4.72238026196565</v>
      </c>
      <c r="AH85" s="16" t="str">
        <f t="shared" si="10"/>
        <v>-66.1913695954007, -82.7696348015185, -107.045203935973, -1.14130651428088</v>
      </c>
    </row>
    <row r="86" spans="5:34" x14ac:dyDescent="0.25">
      <c r="E86" s="15">
        <v>2</v>
      </c>
      <c r="F86" t="s">
        <v>98</v>
      </c>
      <c r="G86" s="19">
        <f>F42</f>
        <v>6.0787714703261644</v>
      </c>
      <c r="H86" s="19">
        <f>J42</f>
        <v>0</v>
      </c>
      <c r="I86" s="19">
        <f>N42</f>
        <v>5.0268662908137696</v>
      </c>
      <c r="J86" s="19">
        <f>R42</f>
        <v>22.731240198448297</v>
      </c>
      <c r="K86" s="19">
        <f>G42</f>
        <v>1.385642730690775</v>
      </c>
      <c r="L86" s="19">
        <v>0</v>
      </c>
      <c r="M86" s="19">
        <f>O42</f>
        <v>0.80037124200366039</v>
      </c>
      <c r="N86" s="19">
        <f>S42</f>
        <v>8.1631329302629787</v>
      </c>
      <c r="O86" s="19">
        <f>F43</f>
        <v>-5.3943773577120133</v>
      </c>
      <c r="P86" s="19">
        <f>J43</f>
        <v>0</v>
      </c>
      <c r="Q86" s="19">
        <f>N43</f>
        <v>3.1789534413077956</v>
      </c>
      <c r="R86" s="19">
        <f>R43</f>
        <v>20.19299540346854</v>
      </c>
      <c r="W86" t="str">
        <f t="shared" si="10"/>
        <v>1.1066426397542, -4.08695883879956, -54.1450062142984, 5.12756149093065, 6.07877147032616</v>
      </c>
      <c r="X86" t="str">
        <f t="shared" si="10"/>
        <v>0, 0, 0, 0, 0</v>
      </c>
      <c r="Y86" t="str">
        <f t="shared" si="10"/>
        <v>-11.7929388759247, -18.5706057756595, -26.4620462032979, 0.936143422160517, 5.02686629081377</v>
      </c>
      <c r="Z86" t="str">
        <f t="shared" si="10"/>
        <v>-19.80478604446, -35.9161338655641, -0.689229370173456, 11.0668096981927, 22.7312401984483</v>
      </c>
      <c r="AA86" t="str">
        <f t="shared" si="10"/>
        <v>1.93874998877628, 1.66152753563708, 8.31404164065802, 1.2276361979102, 1.38564273069078</v>
      </c>
      <c r="AB86" t="str">
        <f t="shared" si="10"/>
        <v>0, 0, 0, 0, 0</v>
      </c>
      <c r="AC86" t="str">
        <f t="shared" si="10"/>
        <v>1.62125632990647, 2.47010100375128, 3.49331414968906, 0.733704631196419, 0.80037124200366</v>
      </c>
      <c r="AD86" t="str">
        <f t="shared" si="10"/>
        <v>6.25601220700794, 12.2427935418234, 5.9435701085925, 4.43392384680398, 8.16313293026298</v>
      </c>
      <c r="AE86" t="str">
        <f t="shared" si="10"/>
        <v>-25.9740328672092, 27.981764422496, 29.6274715634857, -0.307795633576577, -5.39437735771201</v>
      </c>
      <c r="AF86" t="str">
        <f t="shared" si="10"/>
        <v>0, 0, 0, 0, 0</v>
      </c>
      <c r="AG86" t="str">
        <f t="shared" si="10"/>
        <v>8.69172174084335, -14.5208310012653, 16.6337151791378, 4.72238026196565, 3.1789534413078</v>
      </c>
      <c r="AH86" s="16" t="str">
        <f t="shared" si="10"/>
        <v>-66.1913695954007, -82.7696348015185, -107.045203935973, -1.14130651428088, 20.1929954034685</v>
      </c>
    </row>
    <row r="87" spans="5:34" x14ac:dyDescent="0.25">
      <c r="E87" s="15">
        <v>2</v>
      </c>
      <c r="F87" t="s">
        <v>99</v>
      </c>
      <c r="G87" s="19">
        <f>F44</f>
        <v>4.5661791445492259</v>
      </c>
      <c r="H87" s="19">
        <f>J44</f>
        <v>0</v>
      </c>
      <c r="I87" s="19">
        <f>N44</f>
        <v>2.8123411224365418</v>
      </c>
      <c r="J87" s="19">
        <f>R44</f>
        <v>14.807287086865307</v>
      </c>
      <c r="K87" s="19">
        <f>G44</f>
        <v>1.1916309918361145</v>
      </c>
      <c r="L87" s="19">
        <v>0</v>
      </c>
      <c r="M87" s="19">
        <f>O44</f>
        <v>0.67989224363057643</v>
      </c>
      <c r="N87" s="19">
        <f>S44</f>
        <v>5.4339409975089499</v>
      </c>
      <c r="O87" s="19">
        <f>F45</f>
        <v>-3.2941540582112823</v>
      </c>
      <c r="P87" s="19">
        <f>J45</f>
        <v>0</v>
      </c>
      <c r="Q87" s="19">
        <f>N45</f>
        <v>-2.0681020156145822</v>
      </c>
      <c r="R87" s="19">
        <f>R45</f>
        <v>3.3453728501512199</v>
      </c>
      <c r="W87" t="str">
        <f t="shared" si="10"/>
        <v>1.1066426397542, -4.08695883879956, -54.1450062142984, 5.12756149093065, 6.07877147032616, 4.56617914454923</v>
      </c>
      <c r="X87" t="str">
        <f t="shared" si="10"/>
        <v>0, 0, 0, 0, 0, 0</v>
      </c>
      <c r="Y87" t="str">
        <f t="shared" si="10"/>
        <v>-11.7929388759247, -18.5706057756595, -26.4620462032979, 0.936143422160517, 5.02686629081377, 2.81234112243654</v>
      </c>
      <c r="Z87" t="str">
        <f t="shared" si="10"/>
        <v>-19.80478604446, -35.9161338655641, -0.689229370173456, 11.0668096981927, 22.7312401984483, 14.8072870868653</v>
      </c>
      <c r="AA87" t="str">
        <f t="shared" si="10"/>
        <v>1.93874998877628, 1.66152753563708, 8.31404164065802, 1.2276361979102, 1.38564273069078, 1.19163099183611</v>
      </c>
      <c r="AB87" t="str">
        <f t="shared" si="10"/>
        <v>0, 0, 0, 0, 0, 0</v>
      </c>
      <c r="AC87" t="str">
        <f t="shared" si="10"/>
        <v>1.62125632990647, 2.47010100375128, 3.49331414968906, 0.733704631196419, 0.80037124200366, 0.679892243630576</v>
      </c>
      <c r="AD87" t="str">
        <f t="shared" si="10"/>
        <v>6.25601220700794, 12.2427935418234, 5.9435701085925, 4.43392384680398, 8.16313293026298, 5.43394099750895</v>
      </c>
      <c r="AE87" t="str">
        <f t="shared" si="10"/>
        <v>-25.9740328672092, 27.981764422496, 29.6274715634857, -0.307795633576577, -5.39437735771201, -3.29415405821128</v>
      </c>
      <c r="AF87" t="str">
        <f t="shared" si="10"/>
        <v>0, 0, 0, 0, 0, 0</v>
      </c>
      <c r="AG87" t="str">
        <f t="shared" si="10"/>
        <v>8.69172174084335, -14.5208310012653, 16.6337151791378, 4.72238026196565, 3.1789534413078, -2.06810201561458</v>
      </c>
      <c r="AH87" s="16" t="str">
        <f t="shared" si="10"/>
        <v>-66.1913695954007, -82.7696348015185, -107.045203935973, -1.14130651428088, 20.1929954034685, 3.34537285015122</v>
      </c>
    </row>
    <row r="88" spans="5:34" x14ac:dyDescent="0.25">
      <c r="E88" s="15">
        <v>3</v>
      </c>
      <c r="F88" t="s">
        <v>27</v>
      </c>
      <c r="G88" s="19">
        <f>F46</f>
        <v>3.4288574143976103</v>
      </c>
      <c r="H88" s="19">
        <f>J46</f>
        <v>0</v>
      </c>
      <c r="I88" s="19">
        <f>N46</f>
        <v>2.13176098838015</v>
      </c>
      <c r="J88" s="19">
        <f>R46</f>
        <v>11.617779303351011</v>
      </c>
      <c r="K88" s="19">
        <f>G46</f>
        <v>1.0575342066637181</v>
      </c>
      <c r="L88" s="19">
        <v>0</v>
      </c>
      <c r="M88" s="19">
        <f>O46</f>
        <v>0.64195099164836578</v>
      </c>
      <c r="N88" s="19">
        <f>S46</f>
        <v>4.2974786431882821</v>
      </c>
      <c r="O88" s="19">
        <f>F47</f>
        <v>5.3829267204190954</v>
      </c>
      <c r="P88" s="19">
        <f>J47</f>
        <v>0</v>
      </c>
      <c r="Q88" s="19">
        <f>N47</f>
        <v>-4.4120792547943921</v>
      </c>
      <c r="R88" s="19">
        <f>R47</f>
        <v>12.366628111932854</v>
      </c>
      <c r="W88" t="str">
        <f t="shared" si="10"/>
        <v>1.1066426397542, -4.08695883879956, -54.1450062142984, 5.12756149093065, 6.07877147032616, 4.56617914454923, 3.42885741439761</v>
      </c>
      <c r="X88" t="str">
        <f t="shared" si="10"/>
        <v>0, 0, 0, 0, 0, 0, 0</v>
      </c>
      <c r="Y88" t="str">
        <f t="shared" si="10"/>
        <v>-11.7929388759247, -18.5706057756595, -26.4620462032979, 0.936143422160517, 5.02686629081377, 2.81234112243654, 2.13176098838015</v>
      </c>
      <c r="Z88" t="str">
        <f t="shared" si="10"/>
        <v>-19.80478604446, -35.9161338655641, -0.689229370173456, 11.0668096981927, 22.7312401984483, 14.8072870868653, 11.617779303351</v>
      </c>
      <c r="AA88" t="str">
        <f t="shared" si="10"/>
        <v>1.93874998877628, 1.66152753563708, 8.31404164065802, 1.2276361979102, 1.38564273069078, 1.19163099183611, 1.05753420666372</v>
      </c>
      <c r="AB88" t="str">
        <f t="shared" si="10"/>
        <v>0, 0, 0, 0, 0, 0, 0</v>
      </c>
      <c r="AC88" t="str">
        <f t="shared" si="10"/>
        <v>1.62125632990647, 2.47010100375128, 3.49331414968906, 0.733704631196419, 0.80037124200366, 0.679892243630576, 0.641950991648366</v>
      </c>
      <c r="AD88" t="str">
        <f t="shared" si="10"/>
        <v>6.25601220700794, 12.2427935418234, 5.9435701085925, 4.43392384680398, 8.16313293026298, 5.43394099750895, 4.29747864318828</v>
      </c>
      <c r="AE88" t="str">
        <f t="shared" si="10"/>
        <v>-25.9740328672092, 27.981764422496, 29.6274715634857, -0.307795633576577, -5.39437735771201, -3.29415405821128, 5.3829267204191</v>
      </c>
      <c r="AF88" t="str">
        <f t="shared" si="10"/>
        <v>0, 0, 0, 0, 0, 0, 0</v>
      </c>
      <c r="AG88" t="str">
        <f t="shared" si="10"/>
        <v>8.69172174084335, -14.5208310012653, 16.6337151791378, 4.72238026196565, 3.1789534413078, -2.06810201561458, -4.41207925479439</v>
      </c>
      <c r="AH88" s="16" t="str">
        <f t="shared" si="10"/>
        <v>-66.1913695954007, -82.7696348015185, -107.045203935973, -1.14130651428088, 20.1929954034685, 3.34537285015122, 12.3666281119329</v>
      </c>
    </row>
    <row r="89" spans="5:34" x14ac:dyDescent="0.25">
      <c r="E89" s="15">
        <v>3</v>
      </c>
      <c r="F89" t="s">
        <v>29</v>
      </c>
      <c r="G89" s="19">
        <f>F48</f>
        <v>2.7902014493345417</v>
      </c>
      <c r="H89" s="19">
        <f>J48</f>
        <v>0</v>
      </c>
      <c r="I89" s="19">
        <f>N48</f>
        <v>1.0498366034615465</v>
      </c>
      <c r="J89" s="19">
        <f>R48</f>
        <v>2.5588172348264622</v>
      </c>
      <c r="K89" s="19">
        <f>G48</f>
        <v>1.0223546520098439</v>
      </c>
      <c r="L89" s="19">
        <v>0</v>
      </c>
      <c r="M89" s="19">
        <f>O48</f>
        <v>0.5775789921533786</v>
      </c>
      <c r="N89" s="19">
        <f>S48</f>
        <v>1.4284961138249446</v>
      </c>
      <c r="O89" s="19">
        <f>F49</f>
        <v>-3.47772594561232</v>
      </c>
      <c r="P89" s="19">
        <f>J49</f>
        <v>0</v>
      </c>
      <c r="Q89" s="19">
        <f>N49</f>
        <v>3.9698638162213715</v>
      </c>
      <c r="R89" s="19">
        <f>R49</f>
        <v>5.617998292335507</v>
      </c>
      <c r="W89" t="str">
        <f t="shared" si="10"/>
        <v>1.1066426397542, -4.08695883879956, -54.1450062142984, 5.12756149093065, 6.07877147032616, 4.56617914454923, 3.42885741439761, 2.79020144933454</v>
      </c>
      <c r="X89" t="str">
        <f t="shared" si="10"/>
        <v>0, 0, 0, 0, 0, 0, 0, 0</v>
      </c>
      <c r="Y89" t="str">
        <f t="shared" si="10"/>
        <v>-11.7929388759247, -18.5706057756595, -26.4620462032979, 0.936143422160517, 5.02686629081377, 2.81234112243654, 2.13176098838015, 1.04983660346155</v>
      </c>
      <c r="Z89" t="str">
        <f t="shared" si="10"/>
        <v>-19.80478604446, -35.9161338655641, -0.689229370173456, 11.0668096981927, 22.7312401984483, 14.8072870868653, 11.617779303351, 2.55881723482646</v>
      </c>
      <c r="AA89" t="str">
        <f t="shared" si="10"/>
        <v>1.93874998877628, 1.66152753563708, 8.31404164065802, 1.2276361979102, 1.38564273069078, 1.19163099183611, 1.05753420666372, 1.02235465200984</v>
      </c>
      <c r="AB89" t="str">
        <f t="shared" si="10"/>
        <v>0, 0, 0, 0, 0, 0, 0, 0</v>
      </c>
      <c r="AC89" t="str">
        <f t="shared" si="10"/>
        <v>1.62125632990647, 2.47010100375128, 3.49331414968906, 0.733704631196419, 0.80037124200366, 0.679892243630576, 0.641950991648366, 0.577578992153379</v>
      </c>
      <c r="AD89" t="str">
        <f t="shared" si="10"/>
        <v>6.25601220700794, 12.2427935418234, 5.9435701085925, 4.43392384680398, 8.16313293026298, 5.43394099750895, 4.29747864318828, 1.42849611382494</v>
      </c>
      <c r="AE89" t="str">
        <f t="shared" si="10"/>
        <v>-25.9740328672092, 27.981764422496, 29.6274715634857, -0.307795633576577, -5.39437735771201, -3.29415405821128, 5.3829267204191, -3.47772594561232</v>
      </c>
      <c r="AF89" t="str">
        <f t="shared" si="10"/>
        <v>0, 0, 0, 0, 0, 0, 0, 0</v>
      </c>
      <c r="AG89" t="str">
        <f t="shared" si="10"/>
        <v>8.69172174084335, -14.5208310012653, 16.6337151791378, 4.72238026196565, 3.1789534413078, -2.06810201561458, -4.41207925479439, 3.96986381622137</v>
      </c>
      <c r="AH89" s="16" t="str">
        <f t="shared" si="10"/>
        <v>-66.1913695954007, -82.7696348015185, -107.045203935973, -1.14130651428088, 20.1929954034685, 3.34537285015122, 12.3666281119329, 5.61799829233551</v>
      </c>
    </row>
    <row r="90" spans="5:34" x14ac:dyDescent="0.25">
      <c r="E90" s="15">
        <v>4</v>
      </c>
      <c r="F90" t="s">
        <v>100</v>
      </c>
      <c r="G90" s="19">
        <f>F50</f>
        <v>0.27637789903758619</v>
      </c>
      <c r="H90" s="19">
        <f>J50</f>
        <v>0</v>
      </c>
      <c r="I90" s="19">
        <f>N50</f>
        <v>0.47173057870510798</v>
      </c>
      <c r="J90" s="19">
        <f>R50</f>
        <v>-0.49357429084967658</v>
      </c>
      <c r="K90" s="19">
        <f>G50</f>
        <v>0.6864941927014836</v>
      </c>
      <c r="L90" s="19">
        <v>0</v>
      </c>
      <c r="M90" s="19">
        <f>O50</f>
        <v>0.51730290397046741</v>
      </c>
      <c r="N90" s="19">
        <f>S50</f>
        <v>1.3914592716913714</v>
      </c>
      <c r="O90" s="19">
        <f>F51</f>
        <v>5.0949145154619524</v>
      </c>
      <c r="P90" s="19">
        <f>J51</f>
        <v>0</v>
      </c>
      <c r="Q90" s="19">
        <f>N51</f>
        <v>3.5187279855095999</v>
      </c>
      <c r="R90" s="19">
        <f>R51</f>
        <v>6.1519029871942372</v>
      </c>
      <c r="W90" t="str">
        <f t="shared" si="10"/>
        <v>1.1066426397542, -4.08695883879956, -54.1450062142984, 5.12756149093065, 6.07877147032616, 4.56617914454923, 3.42885741439761, 2.79020144933454, 0.276377899037586</v>
      </c>
      <c r="X90" t="str">
        <f t="shared" si="10"/>
        <v>0, 0, 0, 0, 0, 0, 0, 0, 0</v>
      </c>
      <c r="Y90" t="str">
        <f t="shared" si="10"/>
        <v>-11.7929388759247, -18.5706057756595, -26.4620462032979, 0.936143422160517, 5.02686629081377, 2.81234112243654, 2.13176098838015, 1.04983660346155, 0.471730578705108</v>
      </c>
      <c r="Z90" t="str">
        <f t="shared" si="10"/>
        <v>-19.80478604446, -35.9161338655641, -0.689229370173456, 11.0668096981927, 22.7312401984483, 14.8072870868653, 11.617779303351, 2.55881723482646, -0.493574290849677</v>
      </c>
      <c r="AA90" t="str">
        <f>_xlfn.CONCAT(AA89,", ",K90)</f>
        <v>1.93874998877628, 1.66152753563708, 8.31404164065802, 1.2276361979102, 1.38564273069078, 1.19163099183611, 1.05753420666372, 1.02235465200984, 0.686494192701484</v>
      </c>
      <c r="AB90" t="str">
        <f t="shared" si="10"/>
        <v>0, 0, 0, 0, 0, 0, 0, 0, 0</v>
      </c>
      <c r="AC90" t="str">
        <f t="shared" si="10"/>
        <v>1.62125632990647, 2.47010100375128, 3.49331414968906, 0.733704631196419, 0.80037124200366, 0.679892243630576, 0.641950991648366, 0.577578992153379, 0.517302903970467</v>
      </c>
      <c r="AD90" t="str">
        <f t="shared" si="10"/>
        <v>6.25601220700794, 12.2427935418234, 5.9435701085925, 4.43392384680398, 8.16313293026298, 5.43394099750895, 4.29747864318828, 1.42849611382494, 1.39145927169137</v>
      </c>
      <c r="AE90" t="str">
        <f t="shared" si="10"/>
        <v>-25.9740328672092, 27.981764422496, 29.6274715634857, -0.307795633576577, -5.39437735771201, -3.29415405821128, 5.3829267204191, -3.47772594561232, 5.09491451546195</v>
      </c>
      <c r="AF90" t="str">
        <f t="shared" si="10"/>
        <v>0, 0, 0, 0, 0, 0, 0, 0, 0</v>
      </c>
      <c r="AG90" t="str">
        <f t="shared" si="10"/>
        <v>8.69172174084335, -14.5208310012653, 16.6337151791378, 4.72238026196565, 3.1789534413078, -2.06810201561458, -4.41207925479439, 3.96986381622137, 3.5187279855096</v>
      </c>
      <c r="AH90" s="16" t="str">
        <f t="shared" si="10"/>
        <v>-66.1913695954007, -82.7696348015185, -107.045203935973, -1.14130651428088, 20.1929954034685, 3.34537285015122, 12.3666281119329, 5.61799829233551, 6.15190298719424</v>
      </c>
    </row>
    <row r="91" spans="5:34" x14ac:dyDescent="0.25">
      <c r="E91" s="15">
        <v>4</v>
      </c>
      <c r="F91" t="s">
        <v>101</v>
      </c>
      <c r="G91" s="19">
        <f>F52</f>
        <v>2.7190050151457239</v>
      </c>
      <c r="H91" s="19">
        <f>J52</f>
        <v>0</v>
      </c>
      <c r="I91" s="19">
        <f>N52</f>
        <v>6.5827373681468432E-2</v>
      </c>
      <c r="J91" s="19">
        <f>R52</f>
        <v>-3.710161047995534</v>
      </c>
      <c r="K91" s="19">
        <f>G52</f>
        <v>0.79973148136604122</v>
      </c>
      <c r="L91" s="19">
        <v>0</v>
      </c>
      <c r="M91" s="19">
        <f>O52</f>
        <v>0.45499170445726644</v>
      </c>
      <c r="N91" s="19">
        <f>S52</f>
        <v>1.7452763362012347</v>
      </c>
      <c r="O91" s="19">
        <f>F53</f>
        <v>-6.5193277428887217</v>
      </c>
      <c r="P91" s="19">
        <f>J53</f>
        <v>0</v>
      </c>
      <c r="Q91" s="19">
        <f>N53</f>
        <v>3.9961205668242137</v>
      </c>
      <c r="R91" s="19">
        <f>R53</f>
        <v>6.4399395799777706</v>
      </c>
      <c r="W91" s="32" t="s">
        <v>188</v>
      </c>
      <c r="X91" s="32" t="s">
        <v>129</v>
      </c>
      <c r="Y91" s="32" t="s">
        <v>189</v>
      </c>
      <c r="Z91" s="32" t="s">
        <v>190</v>
      </c>
      <c r="AA91" s="33" t="s">
        <v>191</v>
      </c>
      <c r="AB91" s="33" t="s">
        <v>129</v>
      </c>
      <c r="AC91" s="33" t="s">
        <v>192</v>
      </c>
      <c r="AD91" s="33" t="s">
        <v>193</v>
      </c>
      <c r="AE91" s="27" t="s">
        <v>194</v>
      </c>
      <c r="AF91" s="27" t="s">
        <v>129</v>
      </c>
      <c r="AG91" s="27" t="s">
        <v>195</v>
      </c>
      <c r="AH91" s="28" t="s">
        <v>196</v>
      </c>
    </row>
    <row r="92" spans="5:34" x14ac:dyDescent="0.25">
      <c r="E92" s="15">
        <v>5</v>
      </c>
      <c r="F92" t="s">
        <v>102</v>
      </c>
      <c r="G92" s="19">
        <f>F54</f>
        <v>19.292745180593435</v>
      </c>
      <c r="H92" s="19">
        <f>J54</f>
        <v>0</v>
      </c>
      <c r="I92" s="19">
        <f>N54</f>
        <v>17.581851458874432</v>
      </c>
      <c r="J92" s="19">
        <f>R54</f>
        <v>14.306030149275768</v>
      </c>
      <c r="K92" s="19">
        <f>G54</f>
        <v>3.4820368120748499</v>
      </c>
      <c r="L92" s="19">
        <v>0</v>
      </c>
      <c r="M92" s="19">
        <f>O54</f>
        <v>3.0870863705148639</v>
      </c>
      <c r="N92" s="19">
        <f>S54</f>
        <v>3.4607993780622959</v>
      </c>
      <c r="O92" s="19"/>
      <c r="R92" s="19"/>
      <c r="S92" s="19"/>
      <c r="T92" s="19"/>
      <c r="U92" s="19"/>
      <c r="AH92" s="16"/>
    </row>
    <row r="93" spans="5:34" x14ac:dyDescent="0.25">
      <c r="E93" s="15">
        <v>5</v>
      </c>
      <c r="F93" t="s">
        <v>103</v>
      </c>
      <c r="G93" s="19">
        <f>F55</f>
        <v>19.746594813712512</v>
      </c>
      <c r="H93" s="19">
        <f>J55</f>
        <v>0</v>
      </c>
      <c r="I93" s="19">
        <f>N55</f>
        <v>20.543650997570762</v>
      </c>
      <c r="J93" s="19">
        <f>R55</f>
        <v>15.32677799137595</v>
      </c>
      <c r="K93" s="19">
        <f>G55</f>
        <v>2.9201100329642782</v>
      </c>
      <c r="L93" s="19">
        <v>0</v>
      </c>
      <c r="M93" s="19">
        <f>O55</f>
        <v>2.9988848731522522</v>
      </c>
      <c r="N93" s="19">
        <f>S55</f>
        <v>3.421838945316964</v>
      </c>
      <c r="O93" s="19"/>
      <c r="AH93" s="16"/>
    </row>
    <row r="94" spans="5:34" ht="15.75" thickBot="1" x14ac:dyDescent="0.3">
      <c r="E94" s="20">
        <v>5</v>
      </c>
      <c r="F94" s="22" t="s">
        <v>104</v>
      </c>
      <c r="G94" s="21">
        <f>F56</f>
        <v>-55.251648854052604</v>
      </c>
      <c r="H94" s="21">
        <f>J56</f>
        <v>0</v>
      </c>
      <c r="I94" s="21">
        <f>N56</f>
        <v>-14.669107327373233</v>
      </c>
      <c r="J94" s="21">
        <f>R56</f>
        <v>19.115556674286552</v>
      </c>
      <c r="K94" s="21">
        <f>G56</f>
        <v>14.43725014631989</v>
      </c>
      <c r="L94" s="19">
        <v>0</v>
      </c>
      <c r="M94" s="21">
        <f>O56</f>
        <v>3.0263387479947217</v>
      </c>
      <c r="N94" s="21">
        <f>S56</f>
        <v>11.669657292159608</v>
      </c>
      <c r="O94" s="21"/>
      <c r="P94" s="22"/>
      <c r="Q94" s="22"/>
      <c r="R94" s="22"/>
      <c r="S94" s="21"/>
      <c r="T94" s="21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EAE559E09D4A429EBD0F39DC21BBA6" ma:contentTypeVersion="17" ma:contentTypeDescription="Crear nuevo documento." ma:contentTypeScope="" ma:versionID="1af2fb9fc54a5c91fb7e1af47b87503a">
  <xsd:schema xmlns:xsd="http://www.w3.org/2001/XMLSchema" xmlns:xs="http://www.w3.org/2001/XMLSchema" xmlns:p="http://schemas.microsoft.com/office/2006/metadata/properties" xmlns:ns2="57ed4d19-7dfa-4218-b0c9-321a76363151" xmlns:ns3="f52a8275-2cbd-4186-978c-53e036657375" targetNamespace="http://schemas.microsoft.com/office/2006/metadata/properties" ma:root="true" ma:fieldsID="1af883276bc8df500be0fc59e8fb9344" ns2:_="" ns3:_="">
    <xsd:import namespace="57ed4d19-7dfa-4218-b0c9-321a76363151"/>
    <xsd:import namespace="f52a8275-2cbd-4186-978c-53e036657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d4d19-7dfa-4218-b0c9-321a76363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91714cc3-0b58-4b86-a2d5-5223db0584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a8275-2cbd-4186-978c-53e03665737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7ac52e8-abd0-4b42-9211-4af33f9c951c}" ma:internalName="TaxCatchAll" ma:showField="CatchAllData" ma:web="f52a8275-2cbd-4186-978c-53e036657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ed4d19-7dfa-4218-b0c9-321a76363151">
      <Terms xmlns="http://schemas.microsoft.com/office/infopath/2007/PartnerControls"/>
    </lcf76f155ced4ddcb4097134ff3c332f>
    <TaxCatchAll xmlns="f52a8275-2cbd-4186-978c-53e036657375" xsi:nil="true"/>
  </documentManagement>
</p:properties>
</file>

<file path=customXml/itemProps1.xml><?xml version="1.0" encoding="utf-8"?>
<ds:datastoreItem xmlns:ds="http://schemas.openxmlformats.org/officeDocument/2006/customXml" ds:itemID="{88B0F059-BD34-4C18-85D0-51119E19C4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D7FD32-3C5D-455B-ABB9-E4DF139032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ed4d19-7dfa-4218-b0c9-321a76363151"/>
    <ds:schemaRef ds:uri="f52a8275-2cbd-4186-978c-53e036657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189D13-616C-48E4-BDE9-A95BA97E6F91}">
  <ds:schemaRefs>
    <ds:schemaRef ds:uri="http://schemas.microsoft.com/office/2006/metadata/properties"/>
    <ds:schemaRef ds:uri="http://schemas.microsoft.com/office/infopath/2007/PartnerControls"/>
    <ds:schemaRef ds:uri="57ed4d19-7dfa-4218-b0c9-321a76363151"/>
    <ds:schemaRef ds:uri="f52a8275-2cbd-4186-978c-53e036657375"/>
  </ds:schemaRefs>
</ds:datastoreItem>
</file>

<file path=docMetadata/LabelInfo.xml><?xml version="1.0" encoding="utf-8"?>
<clbl:labelList xmlns:clbl="http://schemas.microsoft.com/office/2020/mipLabelMetadata">
  <clbl:label id="{ae525757-89ba-4d30-a2f7-49796ef8c604}" enabled="0" method="" siteId="{ae525757-89ba-4d30-a2f7-49796ef8c6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Indice Tablas</vt:lpstr>
      <vt:lpstr>Tabla 1</vt:lpstr>
      <vt:lpstr>Tabla 2</vt:lpstr>
      <vt:lpstr>Tabla 3</vt:lpstr>
      <vt:lpstr>Tabla 4</vt:lpstr>
      <vt:lpstr>Tabla 5</vt:lpstr>
      <vt:lpstr>Tabla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Rosmery Vanessa Barroso Parra</dc:creator>
  <cp:lastModifiedBy>Rosmery Vanessa Barroso Parra</cp:lastModifiedBy>
  <dcterms:created xsi:type="dcterms:W3CDTF">2026-05-09T20:59:59Z</dcterms:created>
  <dcterms:modified xsi:type="dcterms:W3CDTF">2026-06-04T13:20:48Z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0x01010027EAE559E09D4A429EBD0F39DC21BBA6</vt:lpwstr>
  </property>
  <property fmtid="{D5CDD505-2E9C-101B-9397-08002B2CF9AE}" pid="3" name="MediaServiceImageTags">
    <vt:lpwstr/>
  </property>
</Properties>
</file>